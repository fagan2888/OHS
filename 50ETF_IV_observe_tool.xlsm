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ore\Documents\workspace\OHS\"/>
    </mc:Choice>
  </mc:AlternateContent>
  <xr:revisionPtr revIDLastSave="0" documentId="13_ncr:1_{117070A4-9D52-43EE-B228-9BD22F8936AD}" xr6:coauthVersionLast="45" xr6:coauthVersionMax="45" xr10:uidLastSave="{00000000-0000-0000-0000-000000000000}"/>
  <bookViews>
    <workbookView xWindow="-108" yWindow="-108" windowWidth="23256" windowHeight="12576" firstSheet="4" activeTab="4" xr2:uid="{9E073FB8-746B-4B82-BA1F-095F398CC562}"/>
  </bookViews>
  <sheets>
    <sheet name="7" sheetId="2" state="hidden" r:id="rId1"/>
    <sheet name="8" sheetId="3" state="hidden" r:id="rId2"/>
    <sheet name="9" sheetId="4" state="hidden" r:id="rId3"/>
    <sheet name="12" sheetId="1" state="hidden" r:id="rId4"/>
    <sheet name="graph_summary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" l="1"/>
  <c r="C2" i="1"/>
  <c r="G5" i="2"/>
  <c r="G13" i="2"/>
  <c r="G12" i="2"/>
  <c r="G11" i="2"/>
  <c r="G10" i="2"/>
  <c r="G9" i="2"/>
  <c r="G8" i="2"/>
  <c r="G7" i="2"/>
  <c r="G6" i="2"/>
  <c r="G4" i="2"/>
  <c r="G3" i="2"/>
  <c r="G2" i="2"/>
  <c r="E13" i="2"/>
  <c r="E12" i="2"/>
  <c r="E11" i="2"/>
  <c r="E10" i="2"/>
  <c r="E9" i="2"/>
  <c r="E8" i="2"/>
  <c r="E7" i="2"/>
  <c r="E6" i="2"/>
  <c r="E5" i="2"/>
  <c r="E4" i="2"/>
  <c r="E3" i="2"/>
  <c r="E2" i="2"/>
  <c r="C13" i="2"/>
  <c r="C12" i="2"/>
  <c r="C11" i="2"/>
  <c r="C10" i="2"/>
  <c r="C9" i="2"/>
  <c r="C8" i="2"/>
  <c r="C7" i="2"/>
  <c r="C6" i="2"/>
  <c r="C5" i="2"/>
  <c r="C4" i="2"/>
  <c r="C3" i="2"/>
  <c r="C2" i="2"/>
  <c r="C3" i="1" l="1"/>
  <c r="C4" i="1"/>
  <c r="C5" i="1"/>
  <c r="C6" i="1"/>
  <c r="C7" i="1"/>
  <c r="C8" i="1"/>
  <c r="C9" i="1"/>
  <c r="C10" i="1"/>
  <c r="C11" i="1"/>
  <c r="C12" i="1"/>
  <c r="C13" i="1"/>
  <c r="C14" i="1"/>
  <c r="I19" i="4" l="1"/>
  <c r="G19" i="4"/>
  <c r="I18" i="4"/>
  <c r="G18" i="4"/>
  <c r="I17" i="4"/>
  <c r="G17" i="4"/>
  <c r="I16" i="4"/>
  <c r="G16" i="4"/>
  <c r="I15" i="4"/>
  <c r="G15" i="4"/>
  <c r="I14" i="4"/>
  <c r="G14" i="4"/>
  <c r="I13" i="4"/>
  <c r="G13" i="4"/>
  <c r="I12" i="4"/>
  <c r="G12" i="4"/>
  <c r="I11" i="4"/>
  <c r="G11" i="4"/>
  <c r="I10" i="4"/>
  <c r="G10" i="4"/>
  <c r="I9" i="4"/>
  <c r="G9" i="4"/>
  <c r="I8" i="4"/>
  <c r="G8" i="4"/>
  <c r="I7" i="4"/>
  <c r="G7" i="4"/>
  <c r="I6" i="4"/>
  <c r="G6" i="4"/>
  <c r="I5" i="4"/>
  <c r="G5" i="4"/>
  <c r="I4" i="4"/>
  <c r="G4" i="4"/>
  <c r="I3" i="4"/>
  <c r="G3" i="4"/>
  <c r="I2" i="4"/>
  <c r="G2" i="4"/>
  <c r="I10" i="3"/>
  <c r="G10" i="3"/>
  <c r="I9" i="3"/>
  <c r="G9" i="3"/>
  <c r="I8" i="3"/>
  <c r="G8" i="3"/>
  <c r="I7" i="3"/>
  <c r="G7" i="3"/>
  <c r="I6" i="3"/>
  <c r="G6" i="3"/>
  <c r="I5" i="3"/>
  <c r="G5" i="3"/>
  <c r="I4" i="3"/>
  <c r="G4" i="3"/>
  <c r="I3" i="3"/>
  <c r="G3" i="3"/>
  <c r="I2" i="3"/>
  <c r="G2" i="3"/>
  <c r="E19" i="4"/>
  <c r="C19" i="4"/>
  <c r="E18" i="4"/>
  <c r="C18" i="4"/>
  <c r="E17" i="4"/>
  <c r="C17" i="4"/>
  <c r="E16" i="4"/>
  <c r="C16" i="4"/>
  <c r="E15" i="4"/>
  <c r="C15" i="4"/>
  <c r="E14" i="4"/>
  <c r="C14" i="4"/>
  <c r="E13" i="4"/>
  <c r="C13" i="4"/>
  <c r="E12" i="4"/>
  <c r="C12" i="4"/>
  <c r="E11" i="4"/>
  <c r="C11" i="4"/>
  <c r="E10" i="4"/>
  <c r="C10" i="4"/>
  <c r="E9" i="4"/>
  <c r="C9" i="4"/>
  <c r="E8" i="4"/>
  <c r="C8" i="4"/>
  <c r="E7" i="4"/>
  <c r="C7" i="4"/>
  <c r="E6" i="4"/>
  <c r="C6" i="4"/>
  <c r="E5" i="4"/>
  <c r="C5" i="4"/>
  <c r="E4" i="4"/>
  <c r="C4" i="4"/>
  <c r="E3" i="4"/>
  <c r="C3" i="4"/>
  <c r="E2" i="4"/>
  <c r="C2" i="4"/>
  <c r="I13" i="2"/>
  <c r="I12" i="2"/>
  <c r="I11" i="2"/>
  <c r="I10" i="2"/>
  <c r="I9" i="2"/>
  <c r="I8" i="2"/>
  <c r="I7" i="2"/>
  <c r="I6" i="2"/>
  <c r="I5" i="2"/>
  <c r="I4" i="2"/>
  <c r="I3" i="2"/>
  <c r="I2" i="2"/>
  <c r="E10" i="3"/>
  <c r="C10" i="3"/>
  <c r="E9" i="3"/>
  <c r="C9" i="3"/>
  <c r="E8" i="3"/>
  <c r="C8" i="3"/>
  <c r="E7" i="3"/>
  <c r="C7" i="3"/>
  <c r="E6" i="3"/>
  <c r="C6" i="3"/>
  <c r="E5" i="3"/>
  <c r="C5" i="3"/>
  <c r="E4" i="3"/>
  <c r="C4" i="3"/>
  <c r="E3" i="3"/>
  <c r="C3" i="3"/>
  <c r="E2" i="3"/>
  <c r="E3" i="1"/>
  <c r="E4" i="1"/>
  <c r="E5" i="1"/>
  <c r="E6" i="1"/>
  <c r="E7" i="1"/>
  <c r="E8" i="1"/>
  <c r="E9" i="1"/>
  <c r="E10" i="1"/>
  <c r="E11" i="1"/>
  <c r="G3" i="1"/>
  <c r="I3" i="1"/>
  <c r="G4" i="1"/>
  <c r="I4" i="1"/>
  <c r="G5" i="1"/>
  <c r="I5" i="1"/>
  <c r="G6" i="1"/>
  <c r="I6" i="1"/>
  <c r="G7" i="1"/>
  <c r="I7" i="1"/>
  <c r="G8" i="1"/>
  <c r="I8" i="1"/>
  <c r="G9" i="1"/>
  <c r="I9" i="1"/>
  <c r="G10" i="1"/>
  <c r="I10" i="1"/>
  <c r="G11" i="1"/>
  <c r="I11" i="1"/>
  <c r="E2" i="1"/>
  <c r="G2" i="1"/>
  <c r="I2" i="1"/>
  <c r="E12" i="1"/>
  <c r="G12" i="1"/>
  <c r="I12" i="1"/>
  <c r="E13" i="1"/>
  <c r="G13" i="1"/>
  <c r="I13" i="1"/>
  <c r="E14" i="1"/>
  <c r="G14" i="1"/>
  <c r="I14" i="1"/>
</calcChain>
</file>

<file path=xl/sharedStrings.xml><?xml version="1.0" encoding="utf-8"?>
<sst xmlns="http://schemas.openxmlformats.org/spreadsheetml/2006/main" count="252" uniqueCount="214">
  <si>
    <t>10002231.SH</t>
  </si>
  <si>
    <t>10002232.SH</t>
  </si>
  <si>
    <t>10002233.SH</t>
  </si>
  <si>
    <t>10002234.SH</t>
  </si>
  <si>
    <t>10002235.SH</t>
  </si>
  <si>
    <t>10002236.SH</t>
  </si>
  <si>
    <t>10002237.SH</t>
  </si>
  <si>
    <t>10002238.SH</t>
  </si>
  <si>
    <t>10002239.SH</t>
  </si>
  <si>
    <t>10002240.SH</t>
  </si>
  <si>
    <t>10002241.SH</t>
  </si>
  <si>
    <t>10002242.SH</t>
  </si>
  <si>
    <t>10002243.SH</t>
  </si>
  <si>
    <t>10002244.SH</t>
  </si>
  <si>
    <t>10002245.SH</t>
  </si>
  <si>
    <t>10002246.SH</t>
  </si>
  <si>
    <t>10002247.SH</t>
  </si>
  <si>
    <t>10002248.SH</t>
  </si>
  <si>
    <t>10002269.SH</t>
  </si>
  <si>
    <t>10002270.SH</t>
  </si>
  <si>
    <t>10002299.SH</t>
  </si>
  <si>
    <t>10002300.SH</t>
  </si>
  <si>
    <t>10002301.SH</t>
  </si>
  <si>
    <t>10002302.SH</t>
  </si>
  <si>
    <t>10002303.SH</t>
  </si>
  <si>
    <t>10002304.SH</t>
  </si>
  <si>
    <t>10002305.SH</t>
  </si>
  <si>
    <t>10002306.SH</t>
  </si>
  <si>
    <t>10002307.SH</t>
  </si>
  <si>
    <t>10002308.SH</t>
  </si>
  <si>
    <t>10002405.SH</t>
  </si>
  <si>
    <t>10002406.SH</t>
  </si>
  <si>
    <t>10002407.SH</t>
  </si>
  <si>
    <t>10002408.SH</t>
  </si>
  <si>
    <t>10002423.SH</t>
  </si>
  <si>
    <t>10002424.SH</t>
  </si>
  <si>
    <t>10002477.SH</t>
  </si>
  <si>
    <t>10002478.SH</t>
  </si>
  <si>
    <t>10002479.SH</t>
  </si>
  <si>
    <t>10002480.SH</t>
  </si>
  <si>
    <t>10002481.SH</t>
  </si>
  <si>
    <t>10002482.SH</t>
  </si>
  <si>
    <t>10002483.SH</t>
  </si>
  <si>
    <t>10002484.SH</t>
  </si>
  <si>
    <t>10002485.SH</t>
  </si>
  <si>
    <t>10002486.SH</t>
  </si>
  <si>
    <t>10002487.SH</t>
  </si>
  <si>
    <t>10002488.SH</t>
  </si>
  <si>
    <t>10002489.SH</t>
  </si>
  <si>
    <t>10002490.SH</t>
  </si>
  <si>
    <t>10002491.SH</t>
  </si>
  <si>
    <t>10002492.SH</t>
  </si>
  <si>
    <t>10002493.SH</t>
  </si>
  <si>
    <t>10002494.SH</t>
  </si>
  <si>
    <t>10002513.SH</t>
  </si>
  <si>
    <t>10002514.SH</t>
  </si>
  <si>
    <t>10002517.SH</t>
  </si>
  <si>
    <t>10002518.SH</t>
  </si>
  <si>
    <t>10002527.SH</t>
  </si>
  <si>
    <t>10002528.SH</t>
  </si>
  <si>
    <t>10002529.SH</t>
  </si>
  <si>
    <t>10002530.SH</t>
  </si>
  <si>
    <t>10002531.SH</t>
  </si>
  <si>
    <t>10002532.SH</t>
  </si>
  <si>
    <t>10002533.SH</t>
  </si>
  <si>
    <t>10002534.SH</t>
  </si>
  <si>
    <t>10002535.SH</t>
  </si>
  <si>
    <t>10002536.SH</t>
  </si>
  <si>
    <t>10002537.SH</t>
  </si>
  <si>
    <t>10002538.SH</t>
  </si>
  <si>
    <t>10002539.SH</t>
  </si>
  <si>
    <t>10002540.SH</t>
  </si>
  <si>
    <t>10002541.SH</t>
  </si>
  <si>
    <t>10002542.SH</t>
  </si>
  <si>
    <t>10002543.SH</t>
  </si>
  <si>
    <t>10002544.SH</t>
  </si>
  <si>
    <t>10002565.SH</t>
  </si>
  <si>
    <t>10002566.SH</t>
  </si>
  <si>
    <t>10002569.SH</t>
  </si>
  <si>
    <t>10002570.SH</t>
  </si>
  <si>
    <t>10002571.SH</t>
  </si>
  <si>
    <t>10002572.SH</t>
  </si>
  <si>
    <t>10002577.SH</t>
  </si>
  <si>
    <t>10002578.SH</t>
  </si>
  <si>
    <t>10002579.SH</t>
  </si>
  <si>
    <t>10002580.SH</t>
  </si>
  <si>
    <t>10002585.SH</t>
  </si>
  <si>
    <t>10002586.SH</t>
  </si>
  <si>
    <t>10002587.SH</t>
  </si>
  <si>
    <t>10002588.SH</t>
  </si>
  <si>
    <t>10002589.SH</t>
  </si>
  <si>
    <t>10002590.SH</t>
  </si>
  <si>
    <t>10002591.SH</t>
  </si>
  <si>
    <t>10002592.SH</t>
  </si>
  <si>
    <t>10002593.SH</t>
  </si>
  <si>
    <t>10002594.SH</t>
  </si>
  <si>
    <t>10002595.SH</t>
  </si>
  <si>
    <t>10002596.SH</t>
  </si>
  <si>
    <t>10002597.SH</t>
  </si>
  <si>
    <t>10002598.SH</t>
  </si>
  <si>
    <t>10002599.SH</t>
  </si>
  <si>
    <t>10002600.SH</t>
  </si>
  <si>
    <t>10002601.SH</t>
  </si>
  <si>
    <t>10002602.SH</t>
  </si>
  <si>
    <t>50ETF购9月2.80</t>
  </si>
  <si>
    <t>50ETF购9月2.85</t>
  </si>
  <si>
    <t>50ETF购9月2.90</t>
  </si>
  <si>
    <t>50ETF购9月2.95</t>
  </si>
  <si>
    <t>50ETF购9月3.00</t>
  </si>
  <si>
    <t>50ETF购9月3.10</t>
  </si>
  <si>
    <t>50ETF购9月3.20</t>
  </si>
  <si>
    <t>50ETF购9月3.30</t>
  </si>
  <si>
    <t>50ETF购9月3.40</t>
  </si>
  <si>
    <t>50ETF沽9月2.80</t>
  </si>
  <si>
    <t>50ETF沽9月2.85</t>
  </si>
  <si>
    <t>50ETF沽9月2.90</t>
  </si>
  <si>
    <t>50ETF沽9月2.95</t>
  </si>
  <si>
    <t>50ETF沽9月3.00</t>
  </si>
  <si>
    <t>50ETF沽9月3.10</t>
  </si>
  <si>
    <t>50ETF沽9月3.20</t>
  </si>
  <si>
    <t>50ETF沽9月3.30</t>
  </si>
  <si>
    <t>50ETF沽9月3.40</t>
  </si>
  <si>
    <t>50ETF购9月2.75</t>
  </si>
  <si>
    <t>50ETF沽9月2.75</t>
  </si>
  <si>
    <t>50ETF购9月2.50</t>
  </si>
  <si>
    <t>50ETF购9月2.55</t>
  </si>
  <si>
    <t>50ETF购9月2.60</t>
  </si>
  <si>
    <t>50ETF购9月2.65</t>
  </si>
  <si>
    <t>50ETF购9月2.70</t>
  </si>
  <si>
    <t>50ETF沽9月2.50</t>
  </si>
  <si>
    <t>50ETF沽9月2.55</t>
  </si>
  <si>
    <t>50ETF沽9月2.60</t>
  </si>
  <si>
    <t>50ETF沽9月2.65</t>
  </si>
  <si>
    <t>50ETF沽9月2.70</t>
  </si>
  <si>
    <t>50ETF购9月2.40</t>
  </si>
  <si>
    <t>50ETF购9月2.45</t>
  </si>
  <si>
    <t>50ETF沽9月2.40</t>
  </si>
  <si>
    <t>50ETF沽9月2.45</t>
  </si>
  <si>
    <t>50ETF购9月2.35</t>
  </si>
  <si>
    <t>50ETF沽9月2.35</t>
  </si>
  <si>
    <t>50ETF购12月2.60</t>
  </si>
  <si>
    <t>50ETF购12月2.65</t>
  </si>
  <si>
    <t>50ETF购12月2.70</t>
  </si>
  <si>
    <t>50ETF购12月2.75</t>
  </si>
  <si>
    <t>50ETF购12月2.80</t>
  </si>
  <si>
    <t>50ETF购12月2.85</t>
  </si>
  <si>
    <t>50ETF购12月2.90</t>
  </si>
  <si>
    <t>50ETF购12月2.95</t>
  </si>
  <si>
    <t>50ETF购12月3.00</t>
  </si>
  <si>
    <t>50ETF沽12月2.60</t>
  </si>
  <si>
    <t>50ETF沽12月2.65</t>
  </si>
  <si>
    <t>50ETF沽12月2.70</t>
  </si>
  <si>
    <t>50ETF沽12月2.75</t>
  </si>
  <si>
    <t>50ETF沽12月2.80</t>
  </si>
  <si>
    <t>50ETF沽12月2.85</t>
  </si>
  <si>
    <t>50ETF沽12月2.90</t>
  </si>
  <si>
    <t>50ETF沽12月2.95</t>
  </si>
  <si>
    <t>50ETF沽12月3.00</t>
  </si>
  <si>
    <t>50ETF购12月2.55</t>
  </si>
  <si>
    <t>50ETF沽12月2.55</t>
  </si>
  <si>
    <t>50ETF购12月3.10</t>
  </si>
  <si>
    <t>50ETF沽12月3.10</t>
  </si>
  <si>
    <t>50ETF购7月2.60</t>
  </si>
  <si>
    <t>50ETF购7月2.65</t>
  </si>
  <si>
    <t>50ETF购7月2.70</t>
  </si>
  <si>
    <t>50ETF购7月2.75</t>
  </si>
  <si>
    <t>50ETF购7月2.80</t>
  </si>
  <si>
    <t>50ETF购7月2.85</t>
  </si>
  <si>
    <t>50ETF购7月2.90</t>
  </si>
  <si>
    <t>50ETF购7月2.95</t>
  </si>
  <si>
    <t>50ETF购7月3.00</t>
  </si>
  <si>
    <t>50ETF沽7月2.60</t>
  </si>
  <si>
    <t>50ETF沽7月2.65</t>
  </si>
  <si>
    <t>50ETF沽7月2.70</t>
  </si>
  <si>
    <t>50ETF沽7月2.75</t>
  </si>
  <si>
    <t>50ETF沽7月2.80</t>
  </si>
  <si>
    <t>50ETF沽7月2.85</t>
  </si>
  <si>
    <t>50ETF沽7月2.90</t>
  </si>
  <si>
    <t>50ETF沽7月2.95</t>
  </si>
  <si>
    <t>50ETF沽7月3.00</t>
  </si>
  <si>
    <t>50ETF购7月3.10</t>
  </si>
  <si>
    <t>50ETF沽7月3.10</t>
  </si>
  <si>
    <t>50ETF购7月3.20</t>
  </si>
  <si>
    <t>50ETF沽7月3.20</t>
  </si>
  <si>
    <t>50ETF购12月3.20</t>
  </si>
  <si>
    <t>50ETF沽12月3.20</t>
  </si>
  <si>
    <t>50ETF购7月3.30</t>
  </si>
  <si>
    <t>50ETF沽7月3.30</t>
  </si>
  <si>
    <t>50ETF购12月3.30</t>
  </si>
  <si>
    <t>50ETF沽12月3.30</t>
  </si>
  <si>
    <t>50ETF购8月2.75</t>
  </si>
  <si>
    <t>50ETF购8月2.80</t>
  </si>
  <si>
    <t>50ETF购8月2.85</t>
  </si>
  <si>
    <t>50ETF购8月2.90</t>
  </si>
  <si>
    <t>50ETF购8月2.95</t>
  </si>
  <si>
    <t>50ETF购8月3.00</t>
  </si>
  <si>
    <t>50ETF购8月3.10</t>
  </si>
  <si>
    <t>50ETF购8月3.20</t>
  </si>
  <si>
    <t>50ETF购8月3.30</t>
  </si>
  <si>
    <t>50ETF沽8月2.75</t>
  </si>
  <si>
    <t>50ETF沽8月2.80</t>
  </si>
  <si>
    <t>50ETF沽8月2.85</t>
  </si>
  <si>
    <t>50ETF沽8月2.90</t>
  </si>
  <si>
    <t>50ETF沽8月2.95</t>
  </si>
  <si>
    <t>50ETF沽8月3.00</t>
  </si>
  <si>
    <t>50ETF沽8月3.10</t>
  </si>
  <si>
    <t>50ETF沽8月3.20</t>
  </si>
  <si>
    <t>50ETF沽8月3.30</t>
  </si>
  <si>
    <t>code</t>
    <phoneticPr fontId="1" type="noConversion"/>
  </si>
  <si>
    <t>name</t>
    <phoneticPr fontId="1" type="noConversion"/>
  </si>
  <si>
    <t>bid</t>
    <phoneticPr fontId="1" type="noConversion"/>
  </si>
  <si>
    <t>ask</t>
    <phoneticPr fontId="1" type="noConversion"/>
  </si>
  <si>
    <t>K</t>
    <phoneticPr fontId="1" type="noConversion"/>
  </si>
  <si>
    <t>fitted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</si>
</sst>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0_ ;\-#,##0.0000\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6" fontId="3" fillId="2" borderId="0" xfId="0" applyNumberFormat="1" applyFont="1" applyFill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3" fillId="2" borderId="0" xfId="0" applyFont="1" applyFill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</v>
        <stp/>
        <stp>10002299.SH</stp>
        <stp>rt_ask1_ivl</stp>
        <stp>RT_Price</stp>
        <tr r="C5" s="4"/>
      </tp>
      <tp>
        <v>0.2223</v>
        <stp/>
        <stp>10002270.SH</stp>
        <stp>rt_ask1_ivl</stp>
        <stp>RT_Price</stp>
        <tr r="G10" s="4"/>
      </tp>
      <tp>
        <v>0.11120000000000001</v>
        <stp/>
        <stp>10002269.SH</stp>
        <stp>rt_ask1_ivl</stp>
        <stp>RT_Price</stp>
        <tr r="C10" s="4"/>
      </tp>
      <tp>
        <v>0.25390000000000001</v>
        <stp/>
        <stp>10002246.SH</stp>
        <stp>rt_ask1_ivl</stp>
        <stp>RT_Price</stp>
        <tr r="G17" s="4"/>
      </tp>
      <tp>
        <v>0.27529999999999999</v>
        <stp/>
        <stp>10002247.SH</stp>
        <stp>rt_ask1_ivl</stp>
        <stp>RT_Price</stp>
        <tr r="G18" s="4"/>
      </tp>
      <tp>
        <v>0.22650000000000001</v>
        <stp/>
        <stp>10002244.SH</stp>
        <stp>rt_ask1_ivl</stp>
        <stp>RT_Price</stp>
        <tr r="G15" s="4"/>
      </tp>
      <tp>
        <v>0.23290000000000002</v>
        <stp/>
        <stp>10002245.SH</stp>
        <stp>rt_ask1_ivl</stp>
        <stp>RT_Price</stp>
        <tr r="G16" s="4"/>
      </tp>
      <tp>
        <v>0.21740000000000001</v>
        <stp/>
        <stp>10002242.SH</stp>
        <stp>rt_ask1_ivl</stp>
        <stp>RT_Price</stp>
        <tr r="G13" s="4"/>
      </tp>
      <tp>
        <v>0.21920000000000001</v>
        <stp/>
        <stp>10002243.SH</stp>
        <stp>rt_ask1_ivl</stp>
        <stp>RT_Price</stp>
        <tr r="G14" s="4"/>
      </tp>
      <tp>
        <v>0.221</v>
        <stp/>
        <stp>10002240.SH</stp>
        <stp>rt_ask1_ivl</stp>
        <stp>RT_Price</stp>
        <tr r="G11" s="4"/>
      </tp>
      <tp>
        <v>0.222</v>
        <stp/>
        <stp>10002241.SH</stp>
        <stp>rt_ask1_ivl</stp>
        <stp>RT_Price</stp>
        <tr r="G12" s="4"/>
      </tp>
      <tp>
        <v>0.30130000000000001</v>
        <stp/>
        <stp>10002248.SH</stp>
        <stp>rt_ask1_ivl</stp>
        <stp>RT_Price</stp>
        <tr r="G19" s="4"/>
      </tp>
      <tp>
        <v>0.1661</v>
        <stp/>
        <stp>10002236.SH</stp>
        <stp>rt_ask1_ivl</stp>
        <stp>RT_Price</stp>
        <tr r="C16" s="4"/>
      </tp>
      <tp>
        <v>0.16980000000000001</v>
        <stp/>
        <stp>10002237.SH</stp>
        <stp>rt_ask1_ivl</stp>
        <stp>RT_Price</stp>
        <tr r="C17" s="4"/>
      </tp>
      <tp>
        <v>0.15210000000000001</v>
        <stp/>
        <stp>10002234.SH</stp>
        <stp>rt_ask1_ivl</stp>
        <stp>RT_Price</stp>
        <tr r="C14" s="4"/>
      </tp>
      <tp>
        <v>0.15810000000000002</v>
        <stp/>
        <stp>10002235.SH</stp>
        <stp>rt_ask1_ivl</stp>
        <stp>RT_Price</stp>
        <tr r="C15" s="4"/>
      </tp>
      <tp>
        <v>0.14200000000000002</v>
        <stp/>
        <stp>10002232.SH</stp>
        <stp>rt_ask1_ivl</stp>
        <stp>RT_Price</stp>
        <tr r="C12" s="4"/>
      </tp>
      <tp>
        <v>0.14960000000000001</v>
        <stp/>
        <stp>10002233.SH</stp>
        <stp>rt_ask1_ivl</stp>
        <stp>RT_Price</stp>
        <tr r="C13" s="4"/>
      </tp>
      <tp>
        <v>0.13700000000000001</v>
        <stp/>
        <stp>10002231.SH</stp>
        <stp>rt_ask1_ivl</stp>
        <stp>RT_Price</stp>
        <tr r="C11" s="4"/>
      </tp>
      <tp>
        <v>0.17800000000000002</v>
        <stp/>
        <stp>10002238.SH</stp>
        <stp>rt_ask1_ivl</stp>
        <stp>RT_Price</stp>
        <tr r="C18" s="4"/>
      </tp>
      <tp>
        <v>0.1875</v>
        <stp/>
        <stp>10002239.SH</stp>
        <stp>rt_ask1_ivl</stp>
        <stp>RT_Price</stp>
        <tr r="C19" s="4"/>
      </tp>
      <tp>
        <v>0.23850000000000002</v>
        <stp/>
        <stp>10002306.SH</stp>
        <stp>rt_ask1_ivl</stp>
        <stp>RT_Price</stp>
        <tr r="G7" s="4"/>
      </tp>
      <tp>
        <v>0.23330000000000001</v>
        <stp/>
        <stp>10002307.SH</stp>
        <stp>rt_ask1_ivl</stp>
        <stp>RT_Price</stp>
        <tr r="G8" s="4"/>
      </tp>
      <tp>
        <v>0.25459999999999999</v>
        <stp/>
        <stp>10002304.SH</stp>
        <stp>rt_ask1_ivl</stp>
        <stp>RT_Price</stp>
        <tr r="G5" s="4"/>
      </tp>
      <tp>
        <v>0.24740000000000001</v>
        <stp/>
        <stp>10002305.SH</stp>
        <stp>rt_ask1_ivl</stp>
        <stp>RT_Price</stp>
        <tr r="G6" s="4"/>
      </tp>
      <tp>
        <v>0</v>
        <stp/>
        <stp>10002302.SH</stp>
        <stp>rt_ask1_ivl</stp>
        <stp>RT_Price</stp>
        <tr r="C8" s="4"/>
      </tp>
      <tp>
        <v>0</v>
        <stp/>
        <stp>10002303.SH</stp>
        <stp>rt_ask1_ivl</stp>
        <stp>RT_Price</stp>
        <tr r="C9" s="4"/>
      </tp>
      <tp>
        <v>0</v>
        <stp/>
        <stp>10002300.SH</stp>
        <stp>rt_ask1_ivl</stp>
        <stp>RT_Price</stp>
        <tr r="C6" s="4"/>
      </tp>
      <tp>
        <v>0</v>
        <stp/>
        <stp>10002301.SH</stp>
        <stp>rt_ask1_ivl</stp>
        <stp>RT_Price</stp>
        <tr r="C7" s="4"/>
      </tp>
      <tp>
        <v>0.2283</v>
        <stp/>
        <stp>10002308.SH</stp>
        <stp>rt_ask1_ivl</stp>
        <stp>RT_Price</stp>
        <tr r="G9" s="4"/>
      </tp>
      <tp>
        <v>0.2354</v>
        <stp/>
        <stp>10002494.SH</stp>
        <stp>rt_ask1_ivl</stp>
        <stp>RT_Price</stp>
        <tr r="G11" s="1"/>
      </tp>
      <tp>
        <v>0.2316</v>
        <stp/>
        <stp>10002492.SH</stp>
        <stp>rt_ask1_ivl</stp>
        <stp>RT_Price</stp>
        <tr r="G9" s="1"/>
      </tp>
      <tp>
        <v>0.23650000000000002</v>
        <stp/>
        <stp>10002493.SH</stp>
        <stp>rt_ask1_ivl</stp>
        <stp>RT_Price</stp>
        <tr r="G10" s="1"/>
      </tp>
      <tp>
        <v>0.23020000000000002</v>
        <stp/>
        <stp>10002490.SH</stp>
        <stp>rt_ask1_ivl</stp>
        <stp>RT_Price</stp>
        <tr r="G7" s="1"/>
      </tp>
      <tp>
        <v>0.2286</v>
        <stp/>
        <stp>10002491.SH</stp>
        <stp>rt_ask1_ivl</stp>
        <stp>RT_Price</stp>
        <tr r="G8" s="1"/>
      </tp>
      <tp>
        <v>0.2412</v>
        <stp/>
        <stp>10002486.SH</stp>
        <stp>rt_ask1_ivl</stp>
        <stp>RT_Price</stp>
        <tr r="G3" s="1"/>
      </tp>
      <tp>
        <v>0.23820000000000002</v>
        <stp/>
        <stp>10002487.SH</stp>
        <stp>rt_ask1_ivl</stp>
        <stp>RT_Price</stp>
        <tr r="G4" s="1"/>
      </tp>
      <tp>
        <v>0.1477</v>
        <stp/>
        <stp>10002484.SH</stp>
        <stp>rt_ask1_ivl</stp>
        <stp>RT_Price</stp>
        <tr r="C10" s="1"/>
      </tp>
      <tp>
        <v>0.15130000000000002</v>
        <stp/>
        <stp>10002485.SH</stp>
        <stp>rt_ask1_ivl</stp>
        <stp>RT_Price</stp>
        <tr r="C11" s="1"/>
      </tp>
      <tp>
        <v>0.1358</v>
        <stp/>
        <stp>10002482.SH</stp>
        <stp>rt_ask1_ivl</stp>
        <stp>RT_Price</stp>
        <tr r="C8" s="1"/>
      </tp>
      <tp>
        <v>0.14080000000000001</v>
        <stp/>
        <stp>10002483.SH</stp>
        <stp>rt_ask1_ivl</stp>
        <stp>RT_Price</stp>
        <tr r="C9" s="1"/>
      </tp>
      <tp>
        <v>0.11700000000000001</v>
        <stp/>
        <stp>10002480.SH</stp>
        <stp>rt_ask1_ivl</stp>
        <stp>RT_Price</stp>
        <tr r="C6" s="1"/>
      </tp>
      <tp>
        <v>0.13090000000000002</v>
        <stp/>
        <stp>10002481.SH</stp>
        <stp>rt_ask1_ivl</stp>
        <stp>RT_Price</stp>
        <tr r="C7" s="1"/>
      </tp>
      <tp>
        <v>0.2359</v>
        <stp/>
        <stp>10002488.SH</stp>
        <stp>rt_ask1_ivl</stp>
        <stp>RT_Price</stp>
        <tr r="G5" s="1"/>
      </tp>
      <tp>
        <v>0.23170000000000002</v>
        <stp/>
        <stp>10002489.SH</stp>
        <stp>rt_ask1_ivl</stp>
        <stp>RT_Price</stp>
        <tr r="G6" s="1"/>
      </tp>
      <tp>
        <v>0</v>
        <stp/>
        <stp>10002477.SH</stp>
        <stp>rt_ask1_ivl</stp>
        <stp>RT_Price</stp>
        <tr r="C3" s="1"/>
      </tp>
      <tp>
        <v>0</v>
        <stp/>
        <stp>10002478.SH</stp>
        <stp>rt_ask1_ivl</stp>
        <stp>RT_Price</stp>
        <tr r="C4" s="1"/>
      </tp>
      <tp>
        <v>9.3800000000000008E-2</v>
        <stp/>
        <stp>10002479.SH</stp>
        <stp>rt_ask1_ivl</stp>
        <stp>RT_Price</stp>
        <tr r="C5" s="1"/>
      </tp>
      <tp>
        <v>0.28920000000000001</v>
        <stp/>
        <stp>10002424.SH</stp>
        <stp>rt_ask1_ivl</stp>
        <stp>RT_Price</stp>
        <tr r="G2" s="4"/>
      </tp>
      <tp>
        <v>0</v>
        <stp/>
        <stp>10002423.SH</stp>
        <stp>rt_ask1_ivl</stp>
        <stp>RT_Price</stp>
        <tr r="C2" s="4"/>
      </tp>
      <tp>
        <v>0</v>
        <stp/>
        <stp>10002406.SH</stp>
        <stp>rt_ask1_ivl</stp>
        <stp>RT_Price</stp>
        <tr r="C4" s="4"/>
      </tp>
      <tp>
        <v>0.2787</v>
        <stp/>
        <stp>10002407.SH</stp>
        <stp>rt_ask1_ivl</stp>
        <stp>RT_Price</stp>
        <tr r="G3" s="4"/>
      </tp>
      <tp>
        <v>0</v>
        <stp/>
        <stp>10002405.SH</stp>
        <stp>rt_ask1_ivl</stp>
        <stp>RT_Price</stp>
        <tr r="C3" s="4"/>
      </tp>
      <tp>
        <v>0.26700000000000002</v>
        <stp/>
        <stp>10002408.SH</stp>
        <stp>rt_ask1_ivl</stp>
        <stp>RT_Price</stp>
        <tr r="G4" s="4"/>
      </tp>
      <tp>
        <v>0</v>
        <stp/>
        <stp>10002596.SH</stp>
        <stp>rt_ask1_ivl</stp>
        <stp>RT_Price</stp>
        <tr r="G4" s="3"/>
      </tp>
      <tp>
        <v>0</v>
        <stp/>
        <stp>10002597.SH</stp>
        <stp>rt_ask1_ivl</stp>
        <stp>RT_Price</stp>
        <tr r="G5" s="3"/>
      </tp>
      <tp>
        <v>0</v>
        <stp/>
        <stp>10002594.SH</stp>
        <stp>rt_ask1_ivl</stp>
        <stp>RT_Price</stp>
        <tr r="G2" s="3"/>
      </tp>
      <tp>
        <v>0</v>
        <stp/>
        <stp>10002595.SH</stp>
        <stp>rt_ask1_ivl</stp>
        <stp>RT_Price</stp>
        <tr r="G3" s="3"/>
      </tp>
      <tp>
        <v>0</v>
        <stp/>
        <stp>10002592.SH</stp>
        <stp>rt_ask1_ivl</stp>
        <stp>RT_Price</stp>
        <tr r="C9" s="3"/>
      </tp>
      <tp>
        <v>0</v>
        <stp/>
        <stp>10002593.SH</stp>
        <stp>rt_ask1_ivl</stp>
        <stp>RT_Price</stp>
        <tr r="C10" s="3"/>
      </tp>
      <tp>
        <v>0</v>
        <stp/>
        <stp>10002590.SH</stp>
        <stp>rt_ask1_ivl</stp>
        <stp>RT_Price</stp>
        <tr r="C7" s="3"/>
      </tp>
      <tp>
        <v>0</v>
        <stp/>
        <stp>10002591.SH</stp>
        <stp>rt_ask1_ivl</stp>
        <stp>RT_Price</stp>
        <tr r="C8" s="3"/>
      </tp>
      <tp>
        <v>0</v>
        <stp/>
        <stp>10002598.SH</stp>
        <stp>rt_ask1_ivl</stp>
        <stp>RT_Price</stp>
        <tr r="G6" s="3"/>
      </tp>
      <tp>
        <v>0</v>
        <stp/>
        <stp>10002599.SH</stp>
        <stp>rt_ask1_ivl</stp>
        <stp>RT_Price</stp>
        <tr r="G7" s="3"/>
      </tp>
      <tp>
        <v>0</v>
        <stp/>
        <stp>10002586.SH</stp>
        <stp>rt_ask1_ivl</stp>
        <stp>RT_Price</stp>
        <tr r="C3" s="3"/>
      </tp>
      <tp>
        <v>0</v>
        <stp/>
        <stp>10002587.SH</stp>
        <stp>rt_ask1_ivl</stp>
        <stp>RT_Price</stp>
        <tr r="C4" s="3"/>
      </tp>
      <tp>
        <v>0</v>
        <stp/>
        <stp>10002585.SH</stp>
        <stp>rt_ask1_ivl</stp>
        <stp>RT_Price</stp>
        <tr r="C2" s="3"/>
      </tp>
      <tp>
        <v>0.26550000000000001</v>
        <stp/>
        <stp>10002580.SH</stp>
        <stp>rt_ask1_ivl</stp>
        <stp>RT_Price</stp>
        <tr r="G14" s="1"/>
      </tp>
      <tp>
        <v>0</v>
        <stp/>
        <stp>10002588.SH</stp>
        <stp>rt_ask1_ivl</stp>
        <stp>RT_Price</stp>
        <tr r="C5" s="3"/>
      </tp>
      <tp>
        <v>0</v>
        <stp/>
        <stp>10002589.SH</stp>
        <stp>rt_ask1_ivl</stp>
        <stp>RT_Price</stp>
        <tr r="C6" s="3"/>
      </tp>
      <tp>
        <v>0.19460000000000002</v>
        <stp/>
        <stp>10002577.SH</stp>
        <stp>rt_ask1_ivl</stp>
        <stp>RT_Price</stp>
        <tr r="C13" s="2"/>
      </tp>
      <tp>
        <v>0.25340000000000001</v>
        <stp/>
        <stp>10002572.SH</stp>
        <stp>rt_ask1_ivl</stp>
        <stp>RT_Price</stp>
        <tr r="G13" s="1"/>
      </tp>
      <tp>
        <v>0.30870000000000003</v>
        <stp/>
        <stp>10002570.SH</stp>
        <stp>rt_ask1_ivl</stp>
        <stp>RT_Price</stp>
        <tr r="G12" s="2"/>
      </tp>
      <tp>
        <v>0.1603</v>
        <stp/>
        <stp>10002571.SH</stp>
        <stp>rt_ask1_ivl</stp>
        <stp>RT_Price</stp>
        <tr r="C13" s="1"/>
      </tp>
      <tp>
        <v>0.37030000000000002</v>
        <stp/>
        <stp>10002578.SH</stp>
        <stp>rt_ask1_ivl</stp>
        <stp>RT_Price</stp>
        <tr r="G13" s="2"/>
      </tp>
      <tp>
        <v>0.16420000000000001</v>
        <stp/>
        <stp>10002579.SH</stp>
        <stp>rt_ask1_ivl</stp>
        <stp>RT_Price</stp>
        <tr r="C14" s="1"/>
      </tp>
      <tp>
        <v>0.24080000000000001</v>
        <stp/>
        <stp>10002566.SH</stp>
        <stp>rt_ask1_ivl</stp>
        <stp>RT_Price</stp>
        <tr r="G11" s="2"/>
      </tp>
      <tp>
        <v>0.15590000000000001</v>
        <stp/>
        <stp>10002565.SH</stp>
        <stp>rt_ask1_ivl</stp>
        <stp>RT_Price</stp>
        <tr r="C11" s="2"/>
      </tp>
      <tp>
        <v>0.17730000000000001</v>
        <stp/>
        <stp>10002569.SH</stp>
        <stp>rt_ask1_ivl</stp>
        <stp>RT_Price</stp>
        <tr r="C12" s="2"/>
      </tp>
      <tp>
        <v>0.2147</v>
        <stp/>
        <stp>10002544.SH</stp>
        <stp>rt_ask1_ivl</stp>
        <stp>RT_Price</stp>
        <tr r="G10" s="2"/>
      </tp>
      <tp>
        <v>0.20660000000000001</v>
        <stp/>
        <stp>10002542.SH</stp>
        <stp>rt_ask1_ivl</stp>
        <stp>RT_Price</stp>
        <tr r="G8" s="2"/>
      </tp>
      <tp>
        <v>0.2019</v>
        <stp/>
        <stp>10002543.SH</stp>
        <stp>rt_ask1_ivl</stp>
        <stp>RT_Price</stp>
        <tr r="G9" s="2"/>
      </tp>
      <tp>
        <v>0.2228</v>
        <stp/>
        <stp>10002540.SH</stp>
        <stp>rt_ask1_ivl</stp>
        <stp>RT_Price</stp>
        <tr r="G6" s="2"/>
      </tp>
      <tp>
        <v>0.2147</v>
        <stp/>
        <stp>10002541.SH</stp>
        <stp>rt_ask1_ivl</stp>
        <stp>RT_Price</stp>
        <tr r="G7" s="2"/>
      </tp>
      <tp>
        <v>0.28810000000000002</v>
        <stp/>
        <stp>10002536.SH</stp>
        <stp>rt_ask1_ivl</stp>
        <stp>RT_Price</stp>
        <tr r="G2" s="2"/>
      </tp>
      <tp>
        <v>0.2661</v>
        <stp/>
        <stp>10002537.SH</stp>
        <stp>rt_ask1_ivl</stp>
        <stp>RT_Price</stp>
        <tr r="G3" s="2"/>
      </tp>
      <tp>
        <v>0.14130000000000001</v>
        <stp/>
        <stp>10002534.SH</stp>
        <stp>rt_ask1_ivl</stp>
        <stp>RT_Price</stp>
        <tr r="C9" s="2"/>
      </tp>
      <tp>
        <v>0.1459</v>
        <stp/>
        <stp>10002535.SH</stp>
        <stp>rt_ask1_ivl</stp>
        <stp>RT_Price</stp>
        <tr r="C10" s="2"/>
      </tp>
      <tp>
        <v>0.11850000000000001</v>
        <stp/>
        <stp>10002532.SH</stp>
        <stp>rt_ask1_ivl</stp>
        <stp>RT_Price</stp>
        <tr r="C7" s="2"/>
      </tp>
      <tp>
        <v>0.13570000000000002</v>
        <stp/>
        <stp>10002533.SH</stp>
        <stp>rt_ask1_ivl</stp>
        <stp>RT_Price</stp>
        <tr r="C8" s="2"/>
      </tp>
      <tp>
        <v>0</v>
        <stp/>
        <stp>10002530.SH</stp>
        <stp>rt_ask1_ivl</stp>
        <stp>RT_Price</stp>
        <tr r="C5" s="2"/>
      </tp>
      <tp>
        <v>0</v>
        <stp/>
        <stp>10002531.SH</stp>
        <stp>rt_ask1_ivl</stp>
        <stp>RT_Price</stp>
        <tr r="C6" s="2"/>
      </tp>
      <tp>
        <v>0.2485</v>
        <stp/>
        <stp>10002538.SH</stp>
        <stp>rt_ask1_ivl</stp>
        <stp>RT_Price</stp>
        <tr r="G4" s="2"/>
      </tp>
      <tp>
        <v>0.23390000000000002</v>
        <stp/>
        <stp>10002539.SH</stp>
        <stp>rt_ask1_ivl</stp>
        <stp>RT_Price</stp>
        <tr r="G5" s="2"/>
      </tp>
      <tp>
        <v>0</v>
        <stp/>
        <stp>10002527.SH</stp>
        <stp>rt_ask1_ivl</stp>
        <stp>RT_Price</stp>
        <tr r="C2" s="2"/>
      </tp>
      <tp>
        <v>0</v>
        <stp/>
        <stp>10002528.SH</stp>
        <stp>rt_ask1_ivl</stp>
        <stp>RT_Price</stp>
        <tr r="C3" s="2"/>
      </tp>
      <tp>
        <v>0</v>
        <stp/>
        <stp>10002529.SH</stp>
        <stp>rt_ask1_ivl</stp>
        <stp>RT_Price</stp>
        <tr r="C4" s="2"/>
      </tp>
      <tp>
        <v>0.153</v>
        <stp/>
        <stp>10002517.SH</stp>
        <stp>rt_ask1_ivl</stp>
        <stp>RT_Price</stp>
        <tr r="C12" s="1"/>
      </tp>
      <tp>
        <v>0.23980000000000001</v>
        <stp/>
        <stp>10002514.SH</stp>
        <stp>rt_ask1_ivl</stp>
        <stp>RT_Price</stp>
        <tr r="G2" s="1"/>
      </tp>
      <tp>
        <v>0</v>
        <stp/>
        <stp>10002513.SH</stp>
        <stp>rt_ask1_ivl</stp>
        <stp>RT_Price</stp>
        <tr r="C2" s="1"/>
      </tp>
      <tp>
        <v>0.24340000000000001</v>
        <stp/>
        <stp>10002518.SH</stp>
        <stp>rt_ask1_ivl</stp>
        <stp>RT_Price</stp>
        <tr r="G12" s="1"/>
      </tp>
      <tp>
        <v>0</v>
        <stp/>
        <stp>10002602.SH</stp>
        <stp>rt_ask1_ivl</stp>
        <stp>RT_Price</stp>
        <tr r="G10" s="3"/>
      </tp>
      <tp>
        <v>0</v>
        <stp/>
        <stp>10002600.SH</stp>
        <stp>rt_ask1_ivl</stp>
        <stp>RT_Price</stp>
        <tr r="G8" s="3"/>
      </tp>
      <tp>
        <v>0</v>
        <stp/>
        <stp>10002601.SH</stp>
        <stp>rt_ask1_ivl</stp>
        <stp>RT_Price</stp>
        <tr r="G9" s="3"/>
      </tp>
      <tp>
        <v>0</v>
        <stp/>
        <stp>10002601.SH</stp>
        <stp>rt_bid1_ivl</stp>
        <stp>RT_Price</stp>
        <tr r="I9" s="3"/>
      </tp>
      <tp>
        <v>0</v>
        <stp/>
        <stp>10002600.SH</stp>
        <stp>rt_bid1_ivl</stp>
        <stp>RT_Price</stp>
        <tr r="I8" s="3"/>
      </tp>
      <tp>
        <v>0</v>
        <stp/>
        <stp>10002602.SH</stp>
        <stp>rt_bid1_ivl</stp>
        <stp>RT_Price</stp>
        <tr r="I10" s="3"/>
      </tp>
      <tp>
        <v>0</v>
        <stp/>
        <stp>10002595.SH</stp>
        <stp>rt_bid1_ivl</stp>
        <stp>RT_Price</stp>
        <tr r="I3" s="3"/>
      </tp>
      <tp>
        <v>0</v>
        <stp/>
        <stp>10002594.SH</stp>
        <stp>rt_bid1_ivl</stp>
        <stp>RT_Price</stp>
        <tr r="I2" s="3"/>
      </tp>
      <tp>
        <v>0</v>
        <stp/>
        <stp>10002597.SH</stp>
        <stp>rt_bid1_ivl</stp>
        <stp>RT_Price</stp>
        <tr r="I5" s="3"/>
      </tp>
      <tp>
        <v>0</v>
        <stp/>
        <stp>10002596.SH</stp>
        <stp>rt_bid1_ivl</stp>
        <stp>RT_Price</stp>
        <tr r="I4" s="3"/>
      </tp>
      <tp>
        <v>0</v>
        <stp/>
        <stp>10002591.SH</stp>
        <stp>rt_bid1_ivl</stp>
        <stp>RT_Price</stp>
        <tr r="E8" s="3"/>
      </tp>
      <tp>
        <v>0</v>
        <stp/>
        <stp>10002590.SH</stp>
        <stp>rt_bid1_ivl</stp>
        <stp>RT_Price</stp>
        <tr r="E7" s="3"/>
      </tp>
      <tp>
        <v>0</v>
        <stp/>
        <stp>10002593.SH</stp>
        <stp>rt_bid1_ivl</stp>
        <stp>RT_Price</stp>
        <tr r="E10" s="3"/>
      </tp>
      <tp>
        <v>0</v>
        <stp/>
        <stp>10002592.SH</stp>
        <stp>rt_bid1_ivl</stp>
        <stp>RT_Price</stp>
        <tr r="E9" s="3"/>
      </tp>
      <tp>
        <v>0</v>
        <stp/>
        <stp>10002599.SH</stp>
        <stp>rt_bid1_ivl</stp>
        <stp>RT_Price</stp>
        <tr r="I7" s="3"/>
      </tp>
      <tp>
        <v>0</v>
        <stp/>
        <stp>10002598.SH</stp>
        <stp>rt_bid1_ivl</stp>
        <stp>RT_Price</stp>
        <tr r="I6" s="3"/>
      </tp>
      <tp>
        <v>0</v>
        <stp/>
        <stp>10002585.SH</stp>
        <stp>rt_bid1_ivl</stp>
        <stp>RT_Price</stp>
        <tr r="E2" s="3"/>
      </tp>
      <tp>
        <v>0</v>
        <stp/>
        <stp>10002587.SH</stp>
        <stp>rt_bid1_ivl</stp>
        <stp>RT_Price</stp>
        <tr r="E4" s="3"/>
      </tp>
      <tp>
        <v>0</v>
        <stp/>
        <stp>10002586.SH</stp>
        <stp>rt_bid1_ivl</stp>
        <stp>RT_Price</stp>
        <tr r="E3" s="3"/>
      </tp>
      <tp>
        <v>0.26190000000000002</v>
        <stp/>
        <stp>10002580.SH</stp>
        <stp>rt_bid1_ivl</stp>
        <stp>RT_Price</stp>
        <tr r="I14" s="1"/>
      </tp>
      <tp>
        <v>0</v>
        <stp/>
        <stp>10002589.SH</stp>
        <stp>rt_bid1_ivl</stp>
        <stp>RT_Price</stp>
        <tr r="E6" s="3"/>
      </tp>
      <tp>
        <v>0</v>
        <stp/>
        <stp>10002588.SH</stp>
        <stp>rt_bid1_ivl</stp>
        <stp>RT_Price</stp>
        <tr r="E5" s="3"/>
      </tp>
      <tp>
        <v>0.19040000000000001</v>
        <stp/>
        <stp>10002577.SH</stp>
        <stp>rt_bid1_ivl</stp>
        <stp>RT_Price</stp>
        <tr r="E13" s="2"/>
      </tp>
      <tp>
        <v>0.15790000000000001</v>
        <stp/>
        <stp>10002571.SH</stp>
        <stp>rt_bid1_ivl</stp>
        <stp>RT_Price</stp>
        <tr r="E13" s="1"/>
      </tp>
      <tp>
        <v>0.3049</v>
        <stp/>
        <stp>10002570.SH</stp>
        <stp>rt_bid1_ivl</stp>
        <stp>RT_Price</stp>
        <tr r="I12" s="2"/>
      </tp>
      <tp>
        <v>0.25190000000000001</v>
        <stp/>
        <stp>10002572.SH</stp>
        <stp>rt_bid1_ivl</stp>
        <stp>RT_Price</stp>
        <tr r="I13" s="1"/>
      </tp>
      <tp>
        <v>0.16250000000000001</v>
        <stp/>
        <stp>10002579.SH</stp>
        <stp>rt_bid1_ivl</stp>
        <stp>RT_Price</stp>
        <tr r="E14" s="1"/>
      </tp>
      <tp>
        <v>0.35289999999999999</v>
        <stp/>
        <stp>10002578.SH</stp>
        <stp>rt_bid1_ivl</stp>
        <stp>RT_Price</stp>
        <tr r="I13" s="2"/>
      </tp>
      <tp>
        <v>0.15540000000000001</v>
        <stp/>
        <stp>10002565.SH</stp>
        <stp>rt_bid1_ivl</stp>
        <stp>RT_Price</stp>
        <tr r="E11" s="2"/>
      </tp>
      <tp>
        <v>0.23710000000000001</v>
        <stp/>
        <stp>10002566.SH</stp>
        <stp>rt_bid1_ivl</stp>
        <stp>RT_Price</stp>
        <tr r="I11" s="2"/>
      </tp>
      <tp>
        <v>0.17630000000000001</v>
        <stp/>
        <stp>10002569.SH</stp>
        <stp>rt_bid1_ivl</stp>
        <stp>RT_Price</stp>
        <tr r="E12" s="2"/>
      </tp>
      <tp>
        <v>0.21440000000000001</v>
        <stp/>
        <stp>10002544.SH</stp>
        <stp>rt_bid1_ivl</stp>
        <stp>RT_Price</stp>
        <tr r="I10" s="2"/>
      </tp>
      <tp>
        <v>0.21430000000000002</v>
        <stp/>
        <stp>10002541.SH</stp>
        <stp>rt_bid1_ivl</stp>
        <stp>RT_Price</stp>
        <tr r="I7" s="2"/>
      </tp>
      <tp>
        <v>0.22240000000000001</v>
        <stp/>
        <stp>10002540.SH</stp>
        <stp>rt_bid1_ivl</stp>
        <stp>RT_Price</stp>
        <tr r="I6" s="2"/>
      </tp>
      <tp>
        <v>0.2016</v>
        <stp/>
        <stp>10002543.SH</stp>
        <stp>rt_bid1_ivl</stp>
        <stp>RT_Price</stp>
        <tr r="I9" s="2"/>
      </tp>
      <tp>
        <v>0.20630000000000001</v>
        <stp/>
        <stp>10002542.SH</stp>
        <stp>rt_bid1_ivl</stp>
        <stp>RT_Price</stp>
        <tr r="I8" s="2"/>
      </tp>
      <tp>
        <v>0.14500000000000002</v>
        <stp/>
        <stp>10002535.SH</stp>
        <stp>rt_bid1_ivl</stp>
        <stp>RT_Price</stp>
        <tr r="E10" s="2"/>
      </tp>
      <tp>
        <v>0.14070000000000002</v>
        <stp/>
        <stp>10002534.SH</stp>
        <stp>rt_bid1_ivl</stp>
        <stp>RT_Price</stp>
        <tr r="E9" s="2"/>
      </tp>
      <tp>
        <v>0.2651</v>
        <stp/>
        <stp>10002537.SH</stp>
        <stp>rt_bid1_ivl</stp>
        <stp>RT_Price</stp>
        <tr r="I3" s="2"/>
      </tp>
      <tp>
        <v>0.28689999999999999</v>
        <stp/>
        <stp>10002536.SH</stp>
        <stp>rt_bid1_ivl</stp>
        <stp>RT_Price</stp>
        <tr r="I2" s="2"/>
      </tp>
      <tp>
        <v>0</v>
        <stp/>
        <stp>10002531.SH</stp>
        <stp>rt_bid1_ivl</stp>
        <stp>RT_Price</stp>
        <tr r="E6" s="2"/>
      </tp>
      <tp>
        <v>0</v>
        <stp/>
        <stp>10002530.SH</stp>
        <stp>rt_bid1_ivl</stp>
        <stp>RT_Price</stp>
        <tr r="E5" s="2"/>
      </tp>
      <tp>
        <v>0.1321</v>
        <stp/>
        <stp>10002533.SH</stp>
        <stp>rt_bid1_ivl</stp>
        <stp>RT_Price</stp>
        <tr r="E8" s="2"/>
      </tp>
      <tp>
        <v>0.11610000000000001</v>
        <stp/>
        <stp>10002532.SH</stp>
        <stp>rt_bid1_ivl</stp>
        <stp>RT_Price</stp>
        <tr r="E7" s="2"/>
      </tp>
      <tp>
        <v>0.23330000000000001</v>
        <stp/>
        <stp>10002539.SH</stp>
        <stp>rt_bid1_ivl</stp>
        <stp>RT_Price</stp>
        <tr r="I5" s="2"/>
      </tp>
      <tp>
        <v>0.24780000000000002</v>
        <stp/>
        <stp>10002538.SH</stp>
        <stp>rt_bid1_ivl</stp>
        <stp>RT_Price</stp>
        <tr r="I4" s="2"/>
      </tp>
      <tp>
        <v>0</v>
        <stp/>
        <stp>10002527.SH</stp>
        <stp>rt_bid1_ivl</stp>
        <stp>RT_Price</stp>
        <tr r="E2" s="2"/>
      </tp>
      <tp>
        <v>0</v>
        <stp/>
        <stp>10002529.SH</stp>
        <stp>rt_bid1_ivl</stp>
        <stp>RT_Price</stp>
        <tr r="E4" s="2"/>
      </tp>
      <tp>
        <v>0</v>
        <stp/>
        <stp>10002528.SH</stp>
        <stp>rt_bid1_ivl</stp>
        <stp>RT_Price</stp>
        <tr r="E3" s="2"/>
      </tp>
      <tp>
        <v>0.23870000000000002</v>
        <stp/>
        <stp>10002514.SH</stp>
        <stp>rt_bid1_ivl</stp>
        <stp>RT_Price</stp>
        <tr r="I2" s="1"/>
      </tp>
      <tp>
        <v>0.15180000000000002</v>
        <stp/>
        <stp>10002517.SH</stp>
        <stp>rt_bid1_ivl</stp>
        <stp>RT_Price</stp>
        <tr r="E12" s="1"/>
      </tp>
      <tp>
        <v>0</v>
        <stp/>
        <stp>10002513.SH</stp>
        <stp>rt_bid1_ivl</stp>
        <stp>RT_Price</stp>
        <tr r="E2" s="1"/>
      </tp>
      <tp>
        <v>0.24000000000000002</v>
        <stp/>
        <stp>10002518.SH</stp>
        <stp>rt_bid1_ivl</stp>
        <stp>RT_Price</stp>
        <tr r="I12" s="1"/>
      </tp>
      <tp>
        <v>0.2326</v>
        <stp/>
        <stp>10002494.SH</stp>
        <stp>rt_bid1_ivl</stp>
        <stp>RT_Price</stp>
        <tr r="I11" s="1"/>
      </tp>
      <tp>
        <v>0.22800000000000001</v>
        <stp/>
        <stp>10002491.SH</stp>
        <stp>rt_bid1_ivl</stp>
        <stp>RT_Price</stp>
        <tr r="I8" s="1"/>
      </tp>
      <tp>
        <v>0.22970000000000002</v>
        <stp/>
        <stp>10002490.SH</stp>
        <stp>rt_bid1_ivl</stp>
        <stp>RT_Price</stp>
        <tr r="I7" s="1"/>
      </tp>
      <tp>
        <v>0.23300000000000001</v>
        <stp/>
        <stp>10002493.SH</stp>
        <stp>rt_bid1_ivl</stp>
        <stp>RT_Price</stp>
        <tr r="I10" s="1"/>
      </tp>
      <tp>
        <v>0.23080000000000001</v>
        <stp/>
        <stp>10002492.SH</stp>
        <stp>rt_bid1_ivl</stp>
        <stp>RT_Price</stp>
        <tr r="I9" s="1"/>
      </tp>
      <tp>
        <v>0.1482</v>
        <stp/>
        <stp>10002485.SH</stp>
        <stp>rt_bid1_ivl</stp>
        <stp>RT_Price</stp>
        <tr r="E11" s="1"/>
      </tp>
      <tp>
        <v>0.14500000000000002</v>
        <stp/>
        <stp>10002484.SH</stp>
        <stp>rt_bid1_ivl</stp>
        <stp>RT_Price</stp>
        <tr r="E10" s="1"/>
      </tp>
      <tp>
        <v>0.23500000000000001</v>
        <stp/>
        <stp>10002487.SH</stp>
        <stp>rt_bid1_ivl</stp>
        <stp>RT_Price</stp>
        <tr r="I4" s="1"/>
      </tp>
      <tp>
        <v>0.23720000000000002</v>
        <stp/>
        <stp>10002486.SH</stp>
        <stp>rt_bid1_ivl</stp>
        <stp>RT_Price</stp>
        <tr r="I3" s="1"/>
      </tp>
      <tp>
        <v>0.1193</v>
        <stp/>
        <stp>10002481.SH</stp>
        <stp>rt_bid1_ivl</stp>
        <stp>RT_Price</stp>
        <tr r="E7" s="1"/>
      </tp>
      <tp>
        <v>0.10390000000000001</v>
        <stp/>
        <stp>10002480.SH</stp>
        <stp>rt_bid1_ivl</stp>
        <stp>RT_Price</stp>
        <tr r="E6" s="1"/>
      </tp>
      <tp>
        <v>0.13970000000000002</v>
        <stp/>
        <stp>10002483.SH</stp>
        <stp>rt_bid1_ivl</stp>
        <stp>RT_Price</stp>
        <tr r="E9" s="1"/>
      </tp>
      <tp>
        <v>0.12870000000000001</v>
        <stp/>
        <stp>10002482.SH</stp>
        <stp>rt_bid1_ivl</stp>
        <stp>RT_Price</stp>
        <tr r="E8" s="1"/>
      </tp>
      <tp>
        <v>0.23040000000000002</v>
        <stp/>
        <stp>10002489.SH</stp>
        <stp>rt_bid1_ivl</stp>
        <stp>RT_Price</stp>
        <tr r="I6" s="1"/>
      </tp>
      <tp>
        <v>0.23370000000000002</v>
        <stp/>
        <stp>10002488.SH</stp>
        <stp>rt_bid1_ivl</stp>
        <stp>RT_Price</stp>
        <tr r="I5" s="1"/>
      </tp>
      <tp>
        <v>0</v>
        <stp/>
        <stp>10002477.SH</stp>
        <stp>rt_bid1_ivl</stp>
        <stp>RT_Price</stp>
        <tr r="E3" s="1"/>
      </tp>
      <tp>
        <v>0</v>
        <stp/>
        <stp>10002479.SH</stp>
        <stp>rt_bid1_ivl</stp>
        <stp>RT_Price</stp>
        <tr r="E5" s="1"/>
      </tp>
      <tp>
        <v>0</v>
        <stp/>
        <stp>10002478.SH</stp>
        <stp>rt_bid1_ivl</stp>
        <stp>RT_Price</stp>
        <tr r="E4" s="1"/>
      </tp>
      <tp>
        <v>0.2863</v>
        <stp/>
        <stp>10002424.SH</stp>
        <stp>rt_bid1_ivl</stp>
        <stp>RT_Price</stp>
        <tr r="I2" s="4"/>
      </tp>
      <tp>
        <v>0</v>
        <stp/>
        <stp>10002423.SH</stp>
        <stp>rt_bid1_ivl</stp>
        <stp>RT_Price</stp>
        <tr r="E2" s="4"/>
      </tp>
      <tp>
        <v>0</v>
        <stp/>
        <stp>10002405.SH</stp>
        <stp>rt_bid1_ivl</stp>
        <stp>RT_Price</stp>
        <tr r="E3" s="4"/>
      </tp>
      <tp>
        <v>0.27629999999999999</v>
        <stp/>
        <stp>10002407.SH</stp>
        <stp>rt_bid1_ivl</stp>
        <stp>RT_Price</stp>
        <tr r="I3" s="4"/>
      </tp>
      <tp>
        <v>0</v>
        <stp/>
        <stp>10002406.SH</stp>
        <stp>rt_bid1_ivl</stp>
        <stp>RT_Price</stp>
        <tr r="E4" s="4"/>
      </tp>
      <tp>
        <v>0.26269999999999999</v>
        <stp/>
        <stp>10002408.SH</stp>
        <stp>rt_bid1_ivl</stp>
        <stp>RT_Price</stp>
        <tr r="I4" s="4"/>
      </tp>
      <tp>
        <v>0.2462</v>
        <stp/>
        <stp>10002305.SH</stp>
        <stp>rt_bid1_ivl</stp>
        <stp>RT_Price</stp>
        <tr r="I6" s="4"/>
      </tp>
      <tp>
        <v>0.25040000000000001</v>
        <stp/>
        <stp>10002304.SH</stp>
        <stp>rt_bid1_ivl</stp>
        <stp>RT_Price</stp>
        <tr r="I5" s="4"/>
      </tp>
      <tp>
        <v>0.23270000000000002</v>
        <stp/>
        <stp>10002307.SH</stp>
        <stp>rt_bid1_ivl</stp>
        <stp>RT_Price</stp>
        <tr r="I8" s="4"/>
      </tp>
      <tp>
        <v>0.23780000000000001</v>
        <stp/>
        <stp>10002306.SH</stp>
        <stp>rt_bid1_ivl</stp>
        <stp>RT_Price</stp>
        <tr r="I7" s="4"/>
      </tp>
      <tp>
        <v>0</v>
        <stp/>
        <stp>10002301.SH</stp>
        <stp>rt_bid1_ivl</stp>
        <stp>RT_Price</stp>
        <tr r="E7" s="4"/>
      </tp>
      <tp>
        <v>0</v>
        <stp/>
        <stp>10002300.SH</stp>
        <stp>rt_bid1_ivl</stp>
        <stp>RT_Price</stp>
        <tr r="E6" s="4"/>
      </tp>
      <tp>
        <v>0</v>
        <stp/>
        <stp>10002303.SH</stp>
        <stp>rt_bid1_ivl</stp>
        <stp>RT_Price</stp>
        <tr r="E9" s="4"/>
      </tp>
      <tp>
        <v>0</v>
        <stp/>
        <stp>10002302.SH</stp>
        <stp>rt_bid1_ivl</stp>
        <stp>RT_Price</stp>
        <tr r="E8" s="4"/>
      </tp>
      <tp>
        <v>0.22550000000000001</v>
        <stp/>
        <stp>10002308.SH</stp>
        <stp>rt_bid1_ivl</stp>
        <stp>RT_Price</stp>
        <tr r="I9" s="4"/>
      </tp>
      <tp>
        <v>0</v>
        <stp/>
        <stp>10002299.SH</stp>
        <stp>rt_bid1_ivl</stp>
        <stp>RT_Price</stp>
        <tr r="E5" s="4"/>
      </tp>
      <tp>
        <v>0.22030000000000002</v>
        <stp/>
        <stp>10002270.SH</stp>
        <stp>rt_bid1_ivl</stp>
        <stp>RT_Price</stp>
        <tr r="I10" s="4"/>
      </tp>
      <tp>
        <v>9.9000000000000005E-2</v>
        <stp/>
        <stp>10002269.SH</stp>
        <stp>rt_bid1_ivl</stp>
        <stp>RT_Price</stp>
        <tr r="E10" s="4"/>
      </tp>
      <tp>
        <v>0.22700000000000001</v>
        <stp/>
        <stp>10002245.SH</stp>
        <stp>rt_bid1_ivl</stp>
        <stp>RT_Price</stp>
        <tr r="I16" s="4"/>
      </tp>
      <tp>
        <v>0.2167</v>
        <stp/>
        <stp>10002244.SH</stp>
        <stp>rt_bid1_ivl</stp>
        <stp>RT_Price</stp>
        <tr r="I15" s="4"/>
      </tp>
      <tp>
        <v>0.26440000000000002</v>
        <stp/>
        <stp>10002247.SH</stp>
        <stp>rt_bid1_ivl</stp>
        <stp>RT_Price</stp>
        <tr r="I18" s="4"/>
      </tp>
      <tp>
        <v>0.24300000000000002</v>
        <stp/>
        <stp>10002246.SH</stp>
        <stp>rt_bid1_ivl</stp>
        <stp>RT_Price</stp>
        <tr r="I17" s="4"/>
      </tp>
      <tp>
        <v>0.217</v>
        <stp/>
        <stp>10002241.SH</stp>
        <stp>rt_bid1_ivl</stp>
        <stp>RT_Price</stp>
        <tr r="I12" s="4"/>
      </tp>
      <tp>
        <v>0.21780000000000002</v>
        <stp/>
        <stp>10002240.SH</stp>
        <stp>rt_bid1_ivl</stp>
        <stp>RT_Price</stp>
        <tr r="I11" s="4"/>
      </tp>
      <tp>
        <v>0.2175</v>
        <stp/>
        <stp>10002243.SH</stp>
        <stp>rt_bid1_ivl</stp>
        <stp>RT_Price</stp>
        <tr r="I14" s="4"/>
      </tp>
      <tp>
        <v>0.216</v>
        <stp/>
        <stp>10002242.SH</stp>
        <stp>rt_bid1_ivl</stp>
        <stp>RT_Price</stp>
        <tr r="I13" s="4"/>
      </tp>
      <tp>
        <v>0.29139999999999999</v>
        <stp/>
        <stp>10002248.SH</stp>
        <stp>rt_bid1_ivl</stp>
        <stp>RT_Price</stp>
        <tr r="I19" s="4"/>
      </tp>
      <tp>
        <v>0.15690000000000001</v>
        <stp/>
        <stp>10002235.SH</stp>
        <stp>rt_bid1_ivl</stp>
        <stp>RT_Price</stp>
        <tr r="E15" s="4"/>
      </tp>
      <tp>
        <v>0.14910000000000001</v>
        <stp/>
        <stp>10002234.SH</stp>
        <stp>rt_bid1_ivl</stp>
        <stp>RT_Price</stp>
        <tr r="E14" s="4"/>
      </tp>
      <tp>
        <v>0.1696</v>
        <stp/>
        <stp>10002237.SH</stp>
        <stp>rt_bid1_ivl</stp>
        <stp>RT_Price</stp>
        <tr r="E17" s="4"/>
      </tp>
      <tp>
        <v>0.1658</v>
        <stp/>
        <stp>10002236.SH</stp>
        <stp>rt_bid1_ivl</stp>
        <stp>RT_Price</stp>
        <tr r="E16" s="4"/>
      </tp>
      <tp>
        <v>0.13550000000000001</v>
        <stp/>
        <stp>10002231.SH</stp>
        <stp>rt_bid1_ivl</stp>
        <stp>RT_Price</stp>
        <tr r="E11" s="4"/>
      </tp>
      <tp>
        <v>0.1489</v>
        <stp/>
        <stp>10002233.SH</stp>
        <stp>rt_bid1_ivl</stp>
        <stp>RT_Price</stp>
        <tr r="E13" s="4"/>
      </tp>
      <tp>
        <v>0.13950000000000001</v>
        <stp/>
        <stp>10002232.SH</stp>
        <stp>rt_bid1_ivl</stp>
        <stp>RT_Price</stp>
        <tr r="E12" s="4"/>
      </tp>
      <tp>
        <v>0.18580000000000002</v>
        <stp/>
        <stp>10002239.SH</stp>
        <stp>rt_bid1_ivl</stp>
        <stp>RT_Price</stp>
        <tr r="E19" s="4"/>
      </tp>
      <tp>
        <v>0.1757</v>
        <stp/>
        <stp>10002238.SH</stp>
        <stp>rt_bid1_ivl</stp>
        <stp>RT_Price</stp>
        <tr r="E18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'7'!$C$2:$C$13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0.11850000000000001</c:v>
                </c:pt>
                <c:pt idx="6">
                  <c:v>0.13570000000000002</c:v>
                </c:pt>
                <c:pt idx="7">
                  <c:v>0.14130000000000001</c:v>
                </c:pt>
                <c:pt idx="8">
                  <c:v>0.1459</c:v>
                </c:pt>
                <c:pt idx="9">
                  <c:v>0.15590000000000001</c:v>
                </c:pt>
                <c:pt idx="10">
                  <c:v>0.17730000000000001</c:v>
                </c:pt>
                <c:pt idx="11">
                  <c:v>0.19460000000000002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7-4A2F-A37B-FD62EF702521}"/>
            </c:ext>
          </c:extLst>
        </c:ser>
        <c:ser>
          <c:idx val="1"/>
          <c:order val="1"/>
          <c:tx>
            <c:strRef>
              <c:f>'7'!$D$1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'7'!$D$2:$D$13</c:f>
              <c:numCache>
                <c:formatCode>#,##0.0000_ ;\-#,##0.0000\ </c:formatCode>
                <c:ptCount val="12"/>
                <c:pt idx="0">
                  <c:v>5.2473431109341384E-3</c:v>
                </c:pt>
                <c:pt idx="1">
                  <c:v>-8.0914605277594143E-3</c:v>
                </c:pt>
                <c:pt idx="2">
                  <c:v>-5.8671398499702473E-3</c:v>
                </c:pt>
                <c:pt idx="3">
                  <c:v>1.1070699557802887E-2</c:v>
                </c:pt>
                <c:pt idx="4">
                  <c:v>4.1928326447000473E-2</c:v>
                </c:pt>
                <c:pt idx="5">
                  <c:v>7.8167233288542776E-2</c:v>
                </c:pt>
                <c:pt idx="6">
                  <c:v>0.10875387154928712</c:v>
                </c:pt>
                <c:pt idx="7">
                  <c:v>0.13389402417680768</c:v>
                </c:pt>
                <c:pt idx="8">
                  <c:v>0.15385283972863309</c:v>
                </c:pt>
                <c:pt idx="9">
                  <c:v>0.1792090157782627</c:v>
                </c:pt>
                <c:pt idx="10">
                  <c:v>0.18664698592231632</c:v>
                </c:pt>
                <c:pt idx="11">
                  <c:v>0.17778826028257347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97-4A2F-A37B-FD62EF702521}"/>
            </c:ext>
          </c:extLst>
        </c:ser>
        <c:ser>
          <c:idx val="2"/>
          <c:order val="2"/>
          <c:tx>
            <c:strRef>
              <c:f>'7'!$E$1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'7'!$E$2:$E$13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0.11610000000000001</c:v>
                </c:pt>
                <c:pt idx="6">
                  <c:v>0.1321</c:v>
                </c:pt>
                <c:pt idx="7">
                  <c:v>0.14070000000000002</c:v>
                </c:pt>
                <c:pt idx="8">
                  <c:v>0.14500000000000002</c:v>
                </c:pt>
                <c:pt idx="9">
                  <c:v>0.15540000000000001</c:v>
                </c:pt>
                <c:pt idx="10">
                  <c:v>0.17630000000000001</c:v>
                </c:pt>
                <c:pt idx="11">
                  <c:v>0.19040000000000001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97-4A2F-A37B-FD62EF702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83840"/>
        <c:axId val="447032144"/>
      </c:lineChart>
      <c:catAx>
        <c:axId val="4490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32144"/>
        <c:crosses val="autoZero"/>
        <c:auto val="1"/>
        <c:lblAlgn val="ctr"/>
        <c:lblOffset val="100"/>
        <c:noMultiLvlLbl val="0"/>
      </c:catAx>
      <c:valAx>
        <c:axId val="44703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90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'7'!$G$2:$G$13</c:f>
              <c:numCache>
                <c:formatCode>#,##0.0000_ ;\-#,##0.0000\ </c:formatCode>
                <c:ptCount val="12"/>
                <c:pt idx="0">
                  <c:v>0.28810000000000002</c:v>
                </c:pt>
                <c:pt idx="1">
                  <c:v>0.2661</c:v>
                </c:pt>
                <c:pt idx="2">
                  <c:v>0.2485</c:v>
                </c:pt>
                <c:pt idx="3">
                  <c:v>0.23390000000000002</c:v>
                </c:pt>
                <c:pt idx="4">
                  <c:v>0.2228</c:v>
                </c:pt>
                <c:pt idx="5">
                  <c:v>0.2147</c:v>
                </c:pt>
                <c:pt idx="6">
                  <c:v>0.20660000000000001</c:v>
                </c:pt>
                <c:pt idx="7">
                  <c:v>0.2019</c:v>
                </c:pt>
                <c:pt idx="8">
                  <c:v>0.2147</c:v>
                </c:pt>
                <c:pt idx="9">
                  <c:v>0.24080000000000001</c:v>
                </c:pt>
                <c:pt idx="10">
                  <c:v>0.30870000000000003</c:v>
                </c:pt>
                <c:pt idx="11">
                  <c:v>0.37030000000000002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F-4E6D-9858-80B8D9F23B94}"/>
            </c:ext>
          </c:extLst>
        </c:ser>
        <c:ser>
          <c:idx val="1"/>
          <c:order val="1"/>
          <c:tx>
            <c:strRef>
              <c:f>'7'!$H$1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'7'!$H$2:$H$13</c:f>
              <c:numCache>
                <c:formatCode>#,##0.0000_ ;\-#,##0.0000\ </c:formatCode>
                <c:ptCount val="12"/>
                <c:pt idx="0">
                  <c:v>0.28692699833639368</c:v>
                </c:pt>
                <c:pt idx="1">
                  <c:v>0.26627632903166709</c:v>
                </c:pt>
                <c:pt idx="2">
                  <c:v>0.24860586655906808</c:v>
                </c:pt>
                <c:pt idx="3">
                  <c:v>0.23375906900307517</c:v>
                </c:pt>
                <c:pt idx="4">
                  <c:v>0.22158954175307127</c:v>
                </c:pt>
                <c:pt idx="5">
                  <c:v>0.21196023033776584</c:v>
                </c:pt>
                <c:pt idx="6">
                  <c:v>0.20617186642805188</c:v>
                </c:pt>
                <c:pt idx="7">
                  <c:v>0.20676015542082807</c:v>
                </c:pt>
                <c:pt idx="8">
                  <c:v>0.21347494277202636</c:v>
                </c:pt>
                <c:pt idx="9">
                  <c:v>0.24408948833716573</c:v>
                </c:pt>
                <c:pt idx="10">
                  <c:v>0.29579905270825757</c:v>
                </c:pt>
                <c:pt idx="11">
                  <c:v>0.36663646088671653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AF-4E6D-9858-80B8D9F23B94}"/>
            </c:ext>
          </c:extLst>
        </c:ser>
        <c:ser>
          <c:idx val="2"/>
          <c:order val="2"/>
          <c:tx>
            <c:strRef>
              <c:f>'7'!$I$1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'7'!$I$2:$I$13</c:f>
              <c:numCache>
                <c:formatCode>#,##0.0000_ ;\-#,##0.0000\ </c:formatCode>
                <c:ptCount val="12"/>
                <c:pt idx="0">
                  <c:v>0.28689999999999999</c:v>
                </c:pt>
                <c:pt idx="1">
                  <c:v>0.2651</c:v>
                </c:pt>
                <c:pt idx="2">
                  <c:v>0.24780000000000002</c:v>
                </c:pt>
                <c:pt idx="3">
                  <c:v>0.23330000000000001</c:v>
                </c:pt>
                <c:pt idx="4">
                  <c:v>0.22240000000000001</c:v>
                </c:pt>
                <c:pt idx="5">
                  <c:v>0.21430000000000002</c:v>
                </c:pt>
                <c:pt idx="6">
                  <c:v>0.20630000000000001</c:v>
                </c:pt>
                <c:pt idx="7">
                  <c:v>0.2016</c:v>
                </c:pt>
                <c:pt idx="8">
                  <c:v>0.21440000000000001</c:v>
                </c:pt>
                <c:pt idx="9">
                  <c:v>0.23710000000000001</c:v>
                </c:pt>
                <c:pt idx="10">
                  <c:v>0.3049</c:v>
                </c:pt>
                <c:pt idx="11">
                  <c:v>0.35289999999999999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AF-4E6D-9858-80B8D9F23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45936"/>
        <c:axId val="452679968"/>
      </c:lineChart>
      <c:catAx>
        <c:axId val="50284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968"/>
        <c:crosses val="autoZero"/>
        <c:auto val="1"/>
        <c:lblAlgn val="ctr"/>
        <c:lblOffset val="100"/>
        <c:noMultiLvlLbl val="0"/>
      </c:catAx>
      <c:valAx>
        <c:axId val="4526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84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'8'!$C$2:$C$10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2-4BA1-B5CB-D53B7A00F702}"/>
            </c:ext>
          </c:extLst>
        </c:ser>
        <c:ser>
          <c:idx val="1"/>
          <c:order val="1"/>
          <c:tx>
            <c:strRef>
              <c:f>'8'!$D$1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'8'!$D$2:$D$10</c:f>
              <c:numCache>
                <c:formatCode>#,##0.0000_ ;\-#,##0.0000\ </c:formatCode>
                <c:ptCount val="9"/>
                <c:pt idx="0">
                  <c:v>7.9711607143835614E-8</c:v>
                </c:pt>
                <c:pt idx="1">
                  <c:v>8.0129804171152927E-8</c:v>
                </c:pt>
                <c:pt idx="2">
                  <c:v>8.054059910208688E-8</c:v>
                </c:pt>
                <c:pt idx="3">
                  <c:v>8.0944249420490439E-8</c:v>
                </c:pt>
                <c:pt idx="4">
                  <c:v>8.1340999404602132E-8</c:v>
                </c:pt>
                <c:pt idx="5">
                  <c:v>8.1731081014926436E-8</c:v>
                </c:pt>
                <c:pt idx="6">
                  <c:v>8.2492110188279936E-8</c:v>
                </c:pt>
                <c:pt idx="7">
                  <c:v>8.3228975615045485E-8</c:v>
                </c:pt>
                <c:pt idx="8">
                  <c:v>8.3943164657404848E-8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2-4BA1-B5CB-D53B7A00F702}"/>
            </c:ext>
          </c:extLst>
        </c:ser>
        <c:ser>
          <c:idx val="2"/>
          <c:order val="2"/>
          <c:tx>
            <c:strRef>
              <c:f>'8'!$E$1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'8'!$E$2:$E$10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2-4BA1-B5CB-D53B7A0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704"/>
        <c:axId val="362747408"/>
      </c:lineChart>
      <c:catAx>
        <c:axId val="5009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408"/>
        <c:crosses val="autoZero"/>
        <c:auto val="1"/>
        <c:lblAlgn val="ctr"/>
        <c:lblOffset val="100"/>
        <c:noMultiLvlLbl val="0"/>
      </c:catAx>
      <c:valAx>
        <c:axId val="3627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95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'8'!$G$2:$G$10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D-46DB-9A61-D33BA4CE2914}"/>
            </c:ext>
          </c:extLst>
        </c:ser>
        <c:ser>
          <c:idx val="1"/>
          <c:order val="1"/>
          <c:tx>
            <c:strRef>
              <c:f>'8'!$H$1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'8'!$H$2:$H$10</c:f>
              <c:numCache>
                <c:formatCode>#,##0.0000_ ;\-#,##0.0000\ </c:formatCode>
                <c:ptCount val="9"/>
                <c:pt idx="0">
                  <c:v>-7.402596439018658E-8</c:v>
                </c:pt>
                <c:pt idx="1">
                  <c:v>-2.8174421510147049E-8</c:v>
                </c:pt>
                <c:pt idx="2">
                  <c:v>7.0269425786428308E-9</c:v>
                </c:pt>
                <c:pt idx="3">
                  <c:v>3.2118228654696359E-8</c:v>
                </c:pt>
                <c:pt idx="4">
                  <c:v>4.7606086740843739E-8</c:v>
                </c:pt>
                <c:pt idx="5">
                  <c:v>5.3966252722826904E-8</c:v>
                </c:pt>
                <c:pt idx="6">
                  <c:v>4.1065525077515852E-8</c:v>
                </c:pt>
                <c:pt idx="7">
                  <c:v>-3.3135944910277081E-9</c:v>
                </c:pt>
                <c:pt idx="8">
                  <c:v>-7.6267192410095249E-8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7D-46DB-9A61-D33BA4CE2914}"/>
            </c:ext>
          </c:extLst>
        </c:ser>
        <c:ser>
          <c:idx val="2"/>
          <c:order val="2"/>
          <c:tx>
            <c:strRef>
              <c:f>'8'!$I$1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'8'!$I$2:$I$10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7D-46DB-9A61-D33BA4CE2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0320"/>
        <c:axId val="500250928"/>
      </c:lineChart>
      <c:catAx>
        <c:axId val="5041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250928"/>
        <c:crosses val="autoZero"/>
        <c:auto val="1"/>
        <c:lblAlgn val="ctr"/>
        <c:lblOffset val="100"/>
        <c:noMultiLvlLbl val="0"/>
      </c:catAx>
      <c:valAx>
        <c:axId val="5002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1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'9'!$C$2:$C$19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0.11120000000000001</c:v>
                </c:pt>
                <c:pt idx="9">
                  <c:v>0.13700000000000001</c:v>
                </c:pt>
                <c:pt idx="10">
                  <c:v>0.14200000000000002</c:v>
                </c:pt>
                <c:pt idx="11">
                  <c:v>0.14960000000000001</c:v>
                </c:pt>
                <c:pt idx="12">
                  <c:v>0.15210000000000001</c:v>
                </c:pt>
                <c:pt idx="13">
                  <c:v>0.15810000000000002</c:v>
                </c:pt>
                <c:pt idx="14">
                  <c:v>0.1661</c:v>
                </c:pt>
                <c:pt idx="15">
                  <c:v>0.16980000000000001</c:v>
                </c:pt>
                <c:pt idx="16">
                  <c:v>0.17800000000000002</c:v>
                </c:pt>
                <c:pt idx="17">
                  <c:v>0.1875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F8-4DCF-81E4-86F03992294F}"/>
            </c:ext>
          </c:extLst>
        </c:ser>
        <c:ser>
          <c:idx val="1"/>
          <c:order val="1"/>
          <c:tx>
            <c:strRef>
              <c:f>'9'!$D$1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'9'!$D$2:$D$19</c:f>
              <c:numCache>
                <c:formatCode>#,##0.0000_ ;\-#,##0.0000\ </c:formatCode>
                <c:ptCount val="18"/>
                <c:pt idx="0">
                  <c:v>1.1872384552670506E-2</c:v>
                </c:pt>
                <c:pt idx="1">
                  <c:v>-3.5033935730001686E-3</c:v>
                </c:pt>
                <c:pt idx="2">
                  <c:v>-1.127791183548911E-2</c:v>
                </c:pt>
                <c:pt idx="3">
                  <c:v>-1.1904008264054106E-2</c:v>
                </c:pt>
                <c:pt idx="4">
                  <c:v>-5.8019024775957453E-3</c:v>
                </c:pt>
                <c:pt idx="5">
                  <c:v>6.637940761818905E-3</c:v>
                </c:pt>
                <c:pt idx="6">
                  <c:v>2.5052245652469617E-2</c:v>
                </c:pt>
                <c:pt idx="7">
                  <c:v>4.9102621419410554E-2</c:v>
                </c:pt>
                <c:pt idx="8">
                  <c:v>7.6607051803492296E-2</c:v>
                </c:pt>
                <c:pt idx="9">
                  <c:v>0.10105013140699531</c:v>
                </c:pt>
                <c:pt idx="10">
                  <c:v>0.12206126704584983</c:v>
                </c:pt>
                <c:pt idx="11">
                  <c:v>0.13981155199359427</c:v>
                </c:pt>
                <c:pt idx="12">
                  <c:v>0.15446155158829178</c:v>
                </c:pt>
                <c:pt idx="13">
                  <c:v>0.16616209874011104</c:v>
                </c:pt>
                <c:pt idx="14">
                  <c:v>0.18127378518226503</c:v>
                </c:pt>
                <c:pt idx="15">
                  <c:v>0.18618458840985733</c:v>
                </c:pt>
                <c:pt idx="16">
                  <c:v>0.18181698777201022</c:v>
                </c:pt>
                <c:pt idx="17">
                  <c:v>0.16899349574749012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F8-4DCF-81E4-86F03992294F}"/>
            </c:ext>
          </c:extLst>
        </c:ser>
        <c:ser>
          <c:idx val="2"/>
          <c:order val="2"/>
          <c:tx>
            <c:strRef>
              <c:f>'9'!$E$1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'9'!$E$2:$E$19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9.9000000000000005E-2</c:v>
                </c:pt>
                <c:pt idx="9">
                  <c:v>0.13550000000000001</c:v>
                </c:pt>
                <c:pt idx="10">
                  <c:v>0.13950000000000001</c:v>
                </c:pt>
                <c:pt idx="11">
                  <c:v>0.1489</c:v>
                </c:pt>
                <c:pt idx="12">
                  <c:v>0.14910000000000001</c:v>
                </c:pt>
                <c:pt idx="13">
                  <c:v>0.15690000000000001</c:v>
                </c:pt>
                <c:pt idx="14">
                  <c:v>0.1658</c:v>
                </c:pt>
                <c:pt idx="15">
                  <c:v>0.1696</c:v>
                </c:pt>
                <c:pt idx="16">
                  <c:v>0.1757</c:v>
                </c:pt>
                <c:pt idx="17">
                  <c:v>0.18580000000000002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F8-4DCF-81E4-86F03992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43056"/>
        <c:axId val="359258288"/>
      </c:lineChart>
      <c:catAx>
        <c:axId val="4534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258288"/>
        <c:crosses val="autoZero"/>
        <c:auto val="1"/>
        <c:lblAlgn val="ctr"/>
        <c:lblOffset val="100"/>
        <c:noMultiLvlLbl val="0"/>
      </c:catAx>
      <c:valAx>
        <c:axId val="3592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344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'9'!$G$2:$G$19</c:f>
              <c:numCache>
                <c:formatCode>#,##0.0000_ ;\-#,##0.0000\ </c:formatCode>
                <c:ptCount val="18"/>
                <c:pt idx="0">
                  <c:v>0.28920000000000001</c:v>
                </c:pt>
                <c:pt idx="1">
                  <c:v>0.2787</c:v>
                </c:pt>
                <c:pt idx="2">
                  <c:v>0.26700000000000002</c:v>
                </c:pt>
                <c:pt idx="3">
                  <c:v>0.25459999999999999</c:v>
                </c:pt>
                <c:pt idx="4">
                  <c:v>0.24740000000000001</c:v>
                </c:pt>
                <c:pt idx="5">
                  <c:v>0.23850000000000002</c:v>
                </c:pt>
                <c:pt idx="6">
                  <c:v>0.23330000000000001</c:v>
                </c:pt>
                <c:pt idx="7">
                  <c:v>0.2283</c:v>
                </c:pt>
                <c:pt idx="8">
                  <c:v>0.2223</c:v>
                </c:pt>
                <c:pt idx="9">
                  <c:v>0.221</c:v>
                </c:pt>
                <c:pt idx="10">
                  <c:v>0.222</c:v>
                </c:pt>
                <c:pt idx="11">
                  <c:v>0.21740000000000001</c:v>
                </c:pt>
                <c:pt idx="12">
                  <c:v>0.21920000000000001</c:v>
                </c:pt>
                <c:pt idx="13">
                  <c:v>0.22650000000000001</c:v>
                </c:pt>
                <c:pt idx="14">
                  <c:v>0.23290000000000002</c:v>
                </c:pt>
                <c:pt idx="15">
                  <c:v>0.25390000000000001</c:v>
                </c:pt>
                <c:pt idx="16">
                  <c:v>0.27529999999999999</c:v>
                </c:pt>
                <c:pt idx="17">
                  <c:v>0.30130000000000001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5-4352-A6C1-0042A62DE461}"/>
            </c:ext>
          </c:extLst>
        </c:ser>
        <c:ser>
          <c:idx val="1"/>
          <c:order val="1"/>
          <c:tx>
            <c:strRef>
              <c:f>'9'!$H$1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'9'!$H$2:$H$19</c:f>
              <c:numCache>
                <c:formatCode>#,##0.0000_ ;\-#,##0.0000\ </c:formatCode>
                <c:ptCount val="18"/>
                <c:pt idx="0">
                  <c:v>0.28887971332680429</c:v>
                </c:pt>
                <c:pt idx="1">
                  <c:v>0.27588232219300513</c:v>
                </c:pt>
                <c:pt idx="2">
                  <c:v>0.26440326166477335</c:v>
                </c:pt>
                <c:pt idx="3">
                  <c:v>0.25435617214507955</c:v>
                </c:pt>
                <c:pt idx="4">
                  <c:v>0.24566080571790749</c:v>
                </c:pt>
                <c:pt idx="5">
                  <c:v>0.2382424947895096</c:v>
                </c:pt>
                <c:pt idx="6">
                  <c:v>0.23203167561649157</c:v>
                </c:pt>
                <c:pt idx="7">
                  <c:v>0.22696346016824559</c:v>
                </c:pt>
                <c:pt idx="8">
                  <c:v>0.22297725065622992</c:v>
                </c:pt>
                <c:pt idx="9">
                  <c:v>0.22001639181456958</c:v>
                </c:pt>
                <c:pt idx="10">
                  <c:v>0.21802785665739061</c:v>
                </c:pt>
                <c:pt idx="11">
                  <c:v>0.21719497215633421</c:v>
                </c:pt>
                <c:pt idx="12">
                  <c:v>0.21816293904475828</c:v>
                </c:pt>
                <c:pt idx="13">
                  <c:v>0.22088997725550658</c:v>
                </c:pt>
                <c:pt idx="14">
                  <c:v>0.23127742696441092</c:v>
                </c:pt>
                <c:pt idx="15">
                  <c:v>0.24771936682920132</c:v>
                </c:pt>
                <c:pt idx="16">
                  <c:v>0.26964965693221499</c:v>
                </c:pt>
                <c:pt idx="17">
                  <c:v>0.29656425440571033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5-4352-A6C1-0042A62DE461}"/>
            </c:ext>
          </c:extLst>
        </c:ser>
        <c:ser>
          <c:idx val="2"/>
          <c:order val="2"/>
          <c:tx>
            <c:strRef>
              <c:f>'9'!$I$1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'9'!$I$2:$I$19</c:f>
              <c:numCache>
                <c:formatCode>#,##0.0000_ ;\-#,##0.0000\ </c:formatCode>
                <c:ptCount val="18"/>
                <c:pt idx="0">
                  <c:v>0.2863</c:v>
                </c:pt>
                <c:pt idx="1">
                  <c:v>0.27629999999999999</c:v>
                </c:pt>
                <c:pt idx="2">
                  <c:v>0.26269999999999999</c:v>
                </c:pt>
                <c:pt idx="3">
                  <c:v>0.25040000000000001</c:v>
                </c:pt>
                <c:pt idx="4">
                  <c:v>0.2462</c:v>
                </c:pt>
                <c:pt idx="5">
                  <c:v>0.23780000000000001</c:v>
                </c:pt>
                <c:pt idx="6">
                  <c:v>0.23270000000000002</c:v>
                </c:pt>
                <c:pt idx="7">
                  <c:v>0.22550000000000001</c:v>
                </c:pt>
                <c:pt idx="8">
                  <c:v>0.22030000000000002</c:v>
                </c:pt>
                <c:pt idx="9">
                  <c:v>0.21780000000000002</c:v>
                </c:pt>
                <c:pt idx="10">
                  <c:v>0.217</c:v>
                </c:pt>
                <c:pt idx="11">
                  <c:v>0.216</c:v>
                </c:pt>
                <c:pt idx="12">
                  <c:v>0.2175</c:v>
                </c:pt>
                <c:pt idx="13">
                  <c:v>0.2167</c:v>
                </c:pt>
                <c:pt idx="14">
                  <c:v>0.22700000000000001</c:v>
                </c:pt>
                <c:pt idx="15">
                  <c:v>0.24300000000000002</c:v>
                </c:pt>
                <c:pt idx="16">
                  <c:v>0.26440000000000002</c:v>
                </c:pt>
                <c:pt idx="17">
                  <c:v>0.29139999999999999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15-4352-A6C1-0042A62D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28272"/>
        <c:axId val="362746160"/>
      </c:lineChart>
      <c:catAx>
        <c:axId val="44652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6160"/>
        <c:crosses val="autoZero"/>
        <c:auto val="1"/>
        <c:lblAlgn val="ctr"/>
        <c:lblOffset val="100"/>
        <c:noMultiLvlLbl val="0"/>
      </c:catAx>
      <c:valAx>
        <c:axId val="3627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5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'12'!$C$2:$C$14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9.3800000000000008E-2</c:v>
                </c:pt>
                <c:pt idx="4">
                  <c:v>0.11700000000000001</c:v>
                </c:pt>
                <c:pt idx="5">
                  <c:v>0.13090000000000002</c:v>
                </c:pt>
                <c:pt idx="6">
                  <c:v>0.1358</c:v>
                </c:pt>
                <c:pt idx="7">
                  <c:v>0.14080000000000001</c:v>
                </c:pt>
                <c:pt idx="8">
                  <c:v>0.1477</c:v>
                </c:pt>
                <c:pt idx="9">
                  <c:v>0.15130000000000002</c:v>
                </c:pt>
                <c:pt idx="10">
                  <c:v>0.153</c:v>
                </c:pt>
                <c:pt idx="11">
                  <c:v>0.1603</c:v>
                </c:pt>
                <c:pt idx="12">
                  <c:v>0.16420000000000001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7F-4D6B-9579-262763E51AB8}"/>
            </c:ext>
          </c:extLst>
        </c:ser>
        <c:ser>
          <c:idx val="1"/>
          <c:order val="1"/>
          <c:tx>
            <c:strRef>
              <c:f>'12'!$D$1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'12'!$D$2:$D$14</c:f>
              <c:numCache>
                <c:formatCode>#,##0.0000_ ;\-#,##0.0000\ </c:formatCode>
                <c:ptCount val="13"/>
                <c:pt idx="0">
                  <c:v>-2.7551461841610392E-2</c:v>
                </c:pt>
                <c:pt idx="1">
                  <c:v>8.00522823344757E-3</c:v>
                </c:pt>
                <c:pt idx="2">
                  <c:v>3.9201949295355434E-2</c:v>
                </c:pt>
                <c:pt idx="3">
                  <c:v>6.626990278773065E-2</c:v>
                </c:pt>
                <c:pt idx="4">
                  <c:v>8.9425081944518009E-2</c:v>
                </c:pt>
                <c:pt idx="5">
                  <c:v>0.10886950090654475</c:v>
                </c:pt>
                <c:pt idx="6">
                  <c:v>0.12479230572269244</c:v>
                </c:pt>
                <c:pt idx="7">
                  <c:v>0.13737078036722677</c:v>
                </c:pt>
                <c:pt idx="8">
                  <c:v>0.14677125925139639</c:v>
                </c:pt>
                <c:pt idx="9">
                  <c:v>0.15314995628589781</c:v>
                </c:pt>
                <c:pt idx="10">
                  <c:v>0.15743165046053878</c:v>
                </c:pt>
                <c:pt idx="11">
                  <c:v>0.15871391135483043</c:v>
                </c:pt>
                <c:pt idx="12">
                  <c:v>0.163449935257023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7F-4D6B-9579-262763E51AB8}"/>
            </c:ext>
          </c:extLst>
        </c:ser>
        <c:ser>
          <c:idx val="2"/>
          <c:order val="2"/>
          <c:tx>
            <c:strRef>
              <c:f>'12'!$E$1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'12'!$E$2:$E$14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0.10390000000000001</c:v>
                </c:pt>
                <c:pt idx="5">
                  <c:v>0.1193</c:v>
                </c:pt>
                <c:pt idx="6">
                  <c:v>0.12870000000000001</c:v>
                </c:pt>
                <c:pt idx="7">
                  <c:v>0.13970000000000002</c:v>
                </c:pt>
                <c:pt idx="8">
                  <c:v>0.14500000000000002</c:v>
                </c:pt>
                <c:pt idx="9">
                  <c:v>0.1482</c:v>
                </c:pt>
                <c:pt idx="10">
                  <c:v>0.15180000000000002</c:v>
                </c:pt>
                <c:pt idx="11">
                  <c:v>0.15790000000000001</c:v>
                </c:pt>
                <c:pt idx="12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7F-4D6B-9579-262763E51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98848"/>
        <c:axId val="452679136"/>
      </c:lineChart>
      <c:catAx>
        <c:axId val="572398848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136"/>
        <c:crosses val="autoZero"/>
        <c:auto val="1"/>
        <c:lblAlgn val="ctr"/>
        <c:lblOffset val="100"/>
        <c:noMultiLvlLbl val="0"/>
      </c:catAx>
      <c:valAx>
        <c:axId val="4526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23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'12'!$G$2:$G$14</c:f>
              <c:numCache>
                <c:formatCode>#,##0.0000_ ;\-#,##0.0000\ </c:formatCode>
                <c:ptCount val="13"/>
                <c:pt idx="0">
                  <c:v>0.23980000000000001</c:v>
                </c:pt>
                <c:pt idx="1">
                  <c:v>0.2412</c:v>
                </c:pt>
                <c:pt idx="2">
                  <c:v>0.23820000000000002</c:v>
                </c:pt>
                <c:pt idx="3">
                  <c:v>0.2359</c:v>
                </c:pt>
                <c:pt idx="4">
                  <c:v>0.23170000000000002</c:v>
                </c:pt>
                <c:pt idx="5">
                  <c:v>0.23020000000000002</c:v>
                </c:pt>
                <c:pt idx="6">
                  <c:v>0.2286</c:v>
                </c:pt>
                <c:pt idx="7">
                  <c:v>0.2316</c:v>
                </c:pt>
                <c:pt idx="8">
                  <c:v>0.23650000000000002</c:v>
                </c:pt>
                <c:pt idx="9">
                  <c:v>0.2354</c:v>
                </c:pt>
                <c:pt idx="10">
                  <c:v>0.24340000000000001</c:v>
                </c:pt>
                <c:pt idx="11">
                  <c:v>0.25340000000000001</c:v>
                </c:pt>
                <c:pt idx="12">
                  <c:v>0.26550000000000001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B-4FDF-A4E7-B4B40F505E2E}"/>
            </c:ext>
          </c:extLst>
        </c:ser>
        <c:ser>
          <c:idx val="1"/>
          <c:order val="1"/>
          <c:tx>
            <c:strRef>
              <c:f>'12'!$H$1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'12'!$H$2:$H$14</c:f>
              <c:numCache>
                <c:formatCode>#,##0.0000_ ;\-#,##0.0000\ </c:formatCode>
                <c:ptCount val="13"/>
                <c:pt idx="0">
                  <c:v>0.23925575505742952</c:v>
                </c:pt>
                <c:pt idx="1">
                  <c:v>0.23917734783031241</c:v>
                </c:pt>
                <c:pt idx="2">
                  <c:v>0.23678078330081298</c:v>
                </c:pt>
                <c:pt idx="3">
                  <c:v>0.23360164446528206</c:v>
                </c:pt>
                <c:pt idx="4">
                  <c:v>0.23147455344256357</c:v>
                </c:pt>
                <c:pt idx="5">
                  <c:v>0.23035107693437559</c:v>
                </c:pt>
                <c:pt idx="6">
                  <c:v>0.23017875106370064</c:v>
                </c:pt>
                <c:pt idx="7">
                  <c:v>0.23090843347498849</c:v>
                </c:pt>
                <c:pt idx="8">
                  <c:v>0.23249404649533287</c:v>
                </c:pt>
                <c:pt idx="9">
                  <c:v>0.23489234386206564</c:v>
                </c:pt>
                <c:pt idx="10">
                  <c:v>0.24196690926684702</c:v>
                </c:pt>
                <c:pt idx="11">
                  <c:v>0.25183518035256691</c:v>
                </c:pt>
                <c:pt idx="12">
                  <c:v>0.26423372962758063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B-4FDF-A4E7-B4B40F505E2E}"/>
            </c:ext>
          </c:extLst>
        </c:ser>
        <c:ser>
          <c:idx val="2"/>
          <c:order val="2"/>
          <c:tx>
            <c:strRef>
              <c:f>'12'!$I$1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'12'!$I$2:$I$14</c:f>
              <c:numCache>
                <c:formatCode>#,##0.0000_ ;\-#,##0.0000\ </c:formatCode>
                <c:ptCount val="13"/>
                <c:pt idx="0">
                  <c:v>0.23870000000000002</c:v>
                </c:pt>
                <c:pt idx="1">
                  <c:v>0.23720000000000002</c:v>
                </c:pt>
                <c:pt idx="2">
                  <c:v>0.23500000000000001</c:v>
                </c:pt>
                <c:pt idx="3">
                  <c:v>0.23370000000000002</c:v>
                </c:pt>
                <c:pt idx="4">
                  <c:v>0.23040000000000002</c:v>
                </c:pt>
                <c:pt idx="5">
                  <c:v>0.22970000000000002</c:v>
                </c:pt>
                <c:pt idx="6">
                  <c:v>0.22800000000000001</c:v>
                </c:pt>
                <c:pt idx="7">
                  <c:v>0.23080000000000001</c:v>
                </c:pt>
                <c:pt idx="8">
                  <c:v>0.23300000000000001</c:v>
                </c:pt>
                <c:pt idx="9">
                  <c:v>0.2326</c:v>
                </c:pt>
                <c:pt idx="10">
                  <c:v>0.24000000000000002</c:v>
                </c:pt>
                <c:pt idx="11">
                  <c:v>0.25190000000000001</c:v>
                </c:pt>
                <c:pt idx="12">
                  <c:v>0.26190000000000002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B-4FDF-A4E7-B4B40F505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5152"/>
        <c:axId val="362747824"/>
      </c:lineChart>
      <c:catAx>
        <c:axId val="497835152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824"/>
        <c:crosses val="autoZero"/>
        <c:auto val="1"/>
        <c:lblAlgn val="ctr"/>
        <c:lblOffset val="100"/>
        <c:noMultiLvlLbl val="0"/>
      </c:catAx>
      <c:valAx>
        <c:axId val="3627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8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'7'!$C$2:$C$13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0.11850000000000001</c:v>
                </c:pt>
                <c:pt idx="6">
                  <c:v>0.13570000000000002</c:v>
                </c:pt>
                <c:pt idx="7">
                  <c:v>0.14130000000000001</c:v>
                </c:pt>
                <c:pt idx="8">
                  <c:v>0.1459</c:v>
                </c:pt>
                <c:pt idx="9">
                  <c:v>0.15590000000000001</c:v>
                </c:pt>
                <c:pt idx="10">
                  <c:v>0.17730000000000001</c:v>
                </c:pt>
                <c:pt idx="11">
                  <c:v>0.19460000000000002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2-4B82-81E9-02E75D28E2CE}"/>
            </c:ext>
          </c:extLst>
        </c:ser>
        <c:ser>
          <c:idx val="1"/>
          <c:order val="1"/>
          <c:tx>
            <c:strRef>
              <c:f>'7'!$D$1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'7'!$D$2:$D$13</c:f>
              <c:numCache>
                <c:formatCode>#,##0.0000_ ;\-#,##0.0000\ </c:formatCode>
                <c:ptCount val="12"/>
                <c:pt idx="0">
                  <c:v>5.2473431109341384E-3</c:v>
                </c:pt>
                <c:pt idx="1">
                  <c:v>-8.0914605277594143E-3</c:v>
                </c:pt>
                <c:pt idx="2">
                  <c:v>-5.8671398499702473E-3</c:v>
                </c:pt>
                <c:pt idx="3">
                  <c:v>1.1070699557802887E-2</c:v>
                </c:pt>
                <c:pt idx="4">
                  <c:v>4.1928326447000473E-2</c:v>
                </c:pt>
                <c:pt idx="5">
                  <c:v>7.8167233288542776E-2</c:v>
                </c:pt>
                <c:pt idx="6">
                  <c:v>0.10875387154928712</c:v>
                </c:pt>
                <c:pt idx="7">
                  <c:v>0.13389402417680768</c:v>
                </c:pt>
                <c:pt idx="8">
                  <c:v>0.15385283972863309</c:v>
                </c:pt>
                <c:pt idx="9">
                  <c:v>0.1792090157782627</c:v>
                </c:pt>
                <c:pt idx="10">
                  <c:v>0.18664698592231632</c:v>
                </c:pt>
                <c:pt idx="11">
                  <c:v>0.17778826028257347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2-4B82-81E9-02E75D28E2CE}"/>
            </c:ext>
          </c:extLst>
        </c:ser>
        <c:ser>
          <c:idx val="2"/>
          <c:order val="2"/>
          <c:tx>
            <c:strRef>
              <c:f>'7'!$E$1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'7'!$E$2:$E$13</c:f>
              <c:numCache>
                <c:formatCode>#,##0.0000_ ;\-#,##0.0000\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0.11610000000000001</c:v>
                </c:pt>
                <c:pt idx="6">
                  <c:v>0.1321</c:v>
                </c:pt>
                <c:pt idx="7">
                  <c:v>0.14070000000000002</c:v>
                </c:pt>
                <c:pt idx="8">
                  <c:v>0.14500000000000002</c:v>
                </c:pt>
                <c:pt idx="9">
                  <c:v>0.15540000000000001</c:v>
                </c:pt>
                <c:pt idx="10">
                  <c:v>0.17630000000000001</c:v>
                </c:pt>
                <c:pt idx="11">
                  <c:v>0.19040000000000001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2-4B82-81E9-02E75D28E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83840"/>
        <c:axId val="447032144"/>
      </c:lineChart>
      <c:catAx>
        <c:axId val="4490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32144"/>
        <c:crosses val="autoZero"/>
        <c:auto val="1"/>
        <c:lblAlgn val="ctr"/>
        <c:lblOffset val="100"/>
        <c:noMultiLvlLbl val="0"/>
      </c:catAx>
      <c:valAx>
        <c:axId val="44703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90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7_put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'7'!$G$2:$G$13</c:f>
              <c:numCache>
                <c:formatCode>#,##0.0000_ ;\-#,##0.0000\ </c:formatCode>
                <c:ptCount val="12"/>
                <c:pt idx="0">
                  <c:v>0.28810000000000002</c:v>
                </c:pt>
                <c:pt idx="1">
                  <c:v>0.2661</c:v>
                </c:pt>
                <c:pt idx="2">
                  <c:v>0.2485</c:v>
                </c:pt>
                <c:pt idx="3">
                  <c:v>0.23390000000000002</c:v>
                </c:pt>
                <c:pt idx="4">
                  <c:v>0.2228</c:v>
                </c:pt>
                <c:pt idx="5">
                  <c:v>0.2147</c:v>
                </c:pt>
                <c:pt idx="6">
                  <c:v>0.20660000000000001</c:v>
                </c:pt>
                <c:pt idx="7">
                  <c:v>0.2019</c:v>
                </c:pt>
                <c:pt idx="8">
                  <c:v>0.2147</c:v>
                </c:pt>
                <c:pt idx="9">
                  <c:v>0.24080000000000001</c:v>
                </c:pt>
                <c:pt idx="10">
                  <c:v>0.30870000000000003</c:v>
                </c:pt>
                <c:pt idx="11">
                  <c:v>0.37030000000000002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2-466A-A87C-49FDA3AF5948}"/>
            </c:ext>
          </c:extLst>
        </c:ser>
        <c:ser>
          <c:idx val="1"/>
          <c:order val="1"/>
          <c:tx>
            <c:strRef>
              <c:f>'7'!$H$1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'7'!$H$2:$H$13</c:f>
              <c:numCache>
                <c:formatCode>#,##0.0000_ ;\-#,##0.0000\ </c:formatCode>
                <c:ptCount val="12"/>
                <c:pt idx="0">
                  <c:v>0.28692699833639368</c:v>
                </c:pt>
                <c:pt idx="1">
                  <c:v>0.26627632903166709</c:v>
                </c:pt>
                <c:pt idx="2">
                  <c:v>0.24860586655906808</c:v>
                </c:pt>
                <c:pt idx="3">
                  <c:v>0.23375906900307517</c:v>
                </c:pt>
                <c:pt idx="4">
                  <c:v>0.22158954175307127</c:v>
                </c:pt>
                <c:pt idx="5">
                  <c:v>0.21196023033776584</c:v>
                </c:pt>
                <c:pt idx="6">
                  <c:v>0.20617186642805188</c:v>
                </c:pt>
                <c:pt idx="7">
                  <c:v>0.20676015542082807</c:v>
                </c:pt>
                <c:pt idx="8">
                  <c:v>0.21347494277202636</c:v>
                </c:pt>
                <c:pt idx="9">
                  <c:v>0.24408948833716573</c:v>
                </c:pt>
                <c:pt idx="10">
                  <c:v>0.29579905270825757</c:v>
                </c:pt>
                <c:pt idx="11">
                  <c:v>0.36663646088671653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22-466A-A87C-49FDA3AF5948}"/>
            </c:ext>
          </c:extLst>
        </c:ser>
        <c:ser>
          <c:idx val="2"/>
          <c:order val="2"/>
          <c:tx>
            <c:strRef>
              <c:f>'7'!$I$1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'7'!$F$2:$F$13</c:f>
              <c:numCache>
                <c:formatCode>General</c:formatCode>
                <c:ptCount val="12"/>
                <c:pt idx="0">
                  <c:v>2.6</c:v>
                </c:pt>
                <c:pt idx="1">
                  <c:v>2.65</c:v>
                </c:pt>
                <c:pt idx="2">
                  <c:v>2.7</c:v>
                </c:pt>
                <c:pt idx="3">
                  <c:v>2.75</c:v>
                </c:pt>
                <c:pt idx="4">
                  <c:v>2.8</c:v>
                </c:pt>
                <c:pt idx="5">
                  <c:v>2.85</c:v>
                </c:pt>
                <c:pt idx="6">
                  <c:v>2.9</c:v>
                </c:pt>
                <c:pt idx="7">
                  <c:v>2.95</c:v>
                </c:pt>
                <c:pt idx="8">
                  <c:v>3</c:v>
                </c:pt>
                <c:pt idx="9">
                  <c:v>3.1</c:v>
                </c:pt>
                <c:pt idx="10">
                  <c:v>3.2</c:v>
                </c:pt>
                <c:pt idx="11">
                  <c:v>3.3</c:v>
                </c:pt>
              </c:numCache>
            </c:numRef>
          </c:cat>
          <c:val>
            <c:numRef>
              <c:f>'7'!$I$2:$I$13</c:f>
              <c:numCache>
                <c:formatCode>#,##0.0000_ ;\-#,##0.0000\ </c:formatCode>
                <c:ptCount val="12"/>
                <c:pt idx="0">
                  <c:v>0.28689999999999999</c:v>
                </c:pt>
                <c:pt idx="1">
                  <c:v>0.2651</c:v>
                </c:pt>
                <c:pt idx="2">
                  <c:v>0.24780000000000002</c:v>
                </c:pt>
                <c:pt idx="3">
                  <c:v>0.23330000000000001</c:v>
                </c:pt>
                <c:pt idx="4">
                  <c:v>0.22240000000000001</c:v>
                </c:pt>
                <c:pt idx="5">
                  <c:v>0.21430000000000002</c:v>
                </c:pt>
                <c:pt idx="6">
                  <c:v>0.20630000000000001</c:v>
                </c:pt>
                <c:pt idx="7">
                  <c:v>0.2016</c:v>
                </c:pt>
                <c:pt idx="8">
                  <c:v>0.21440000000000001</c:v>
                </c:pt>
                <c:pt idx="9">
                  <c:v>0.23710000000000001</c:v>
                </c:pt>
                <c:pt idx="10">
                  <c:v>0.3049</c:v>
                </c:pt>
                <c:pt idx="11">
                  <c:v>0.35289999999999999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22-466A-A87C-49FDA3AF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45936"/>
        <c:axId val="452679968"/>
      </c:lineChart>
      <c:catAx>
        <c:axId val="50284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968"/>
        <c:crosses val="autoZero"/>
        <c:auto val="1"/>
        <c:lblAlgn val="ctr"/>
        <c:lblOffset val="100"/>
        <c:noMultiLvlLbl val="0"/>
      </c:catAx>
      <c:valAx>
        <c:axId val="4526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284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'8'!$C$2:$C$10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BC-494E-9DE3-7D588A9A0E3F}"/>
            </c:ext>
          </c:extLst>
        </c:ser>
        <c:ser>
          <c:idx val="1"/>
          <c:order val="1"/>
          <c:tx>
            <c:strRef>
              <c:f>'8'!$D$1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'8'!$D$2:$D$10</c:f>
              <c:numCache>
                <c:formatCode>#,##0.0000_ ;\-#,##0.0000\ </c:formatCode>
                <c:ptCount val="9"/>
                <c:pt idx="0">
                  <c:v>7.9711607143835614E-8</c:v>
                </c:pt>
                <c:pt idx="1">
                  <c:v>8.0129804171152927E-8</c:v>
                </c:pt>
                <c:pt idx="2">
                  <c:v>8.054059910208688E-8</c:v>
                </c:pt>
                <c:pt idx="3">
                  <c:v>8.0944249420490439E-8</c:v>
                </c:pt>
                <c:pt idx="4">
                  <c:v>8.1340999404602132E-8</c:v>
                </c:pt>
                <c:pt idx="5">
                  <c:v>8.1731081014926436E-8</c:v>
                </c:pt>
                <c:pt idx="6">
                  <c:v>8.2492110188279936E-8</c:v>
                </c:pt>
                <c:pt idx="7">
                  <c:v>8.3228975615045485E-8</c:v>
                </c:pt>
                <c:pt idx="8">
                  <c:v>8.3943164657404848E-8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BC-494E-9DE3-7D588A9A0E3F}"/>
            </c:ext>
          </c:extLst>
        </c:ser>
        <c:ser>
          <c:idx val="2"/>
          <c:order val="2"/>
          <c:tx>
            <c:strRef>
              <c:f>'8'!$E$1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'8'!$E$2:$E$10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BC-494E-9DE3-7D588A9A0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704"/>
        <c:axId val="362747408"/>
      </c:lineChart>
      <c:catAx>
        <c:axId val="5009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408"/>
        <c:crosses val="autoZero"/>
        <c:auto val="1"/>
        <c:lblAlgn val="ctr"/>
        <c:lblOffset val="100"/>
        <c:noMultiLvlLbl val="0"/>
      </c:catAx>
      <c:valAx>
        <c:axId val="3627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95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8_put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'8'!$G$2:$G$10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2-46CF-BFA3-37513F13DD1B}"/>
            </c:ext>
          </c:extLst>
        </c:ser>
        <c:ser>
          <c:idx val="1"/>
          <c:order val="1"/>
          <c:tx>
            <c:strRef>
              <c:f>'8'!$H$1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'8'!$H$2:$H$10</c:f>
              <c:numCache>
                <c:formatCode>#,##0.0000_ ;\-#,##0.0000\ </c:formatCode>
                <c:ptCount val="9"/>
                <c:pt idx="0">
                  <c:v>-7.402596439018658E-8</c:v>
                </c:pt>
                <c:pt idx="1">
                  <c:v>-2.8174421510147049E-8</c:v>
                </c:pt>
                <c:pt idx="2">
                  <c:v>7.0269425786428308E-9</c:v>
                </c:pt>
                <c:pt idx="3">
                  <c:v>3.2118228654696359E-8</c:v>
                </c:pt>
                <c:pt idx="4">
                  <c:v>4.7606086740843739E-8</c:v>
                </c:pt>
                <c:pt idx="5">
                  <c:v>5.3966252722826904E-8</c:v>
                </c:pt>
                <c:pt idx="6">
                  <c:v>4.1065525077515852E-8</c:v>
                </c:pt>
                <c:pt idx="7">
                  <c:v>-3.3135944910277081E-9</c:v>
                </c:pt>
                <c:pt idx="8">
                  <c:v>-7.6267192410095249E-8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2-46CF-BFA3-37513F13DD1B}"/>
            </c:ext>
          </c:extLst>
        </c:ser>
        <c:ser>
          <c:idx val="2"/>
          <c:order val="2"/>
          <c:tx>
            <c:strRef>
              <c:f>'8'!$I$1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'8'!$F$2:$F$10</c:f>
              <c:numCache>
                <c:formatCode>General</c:formatCode>
                <c:ptCount val="9"/>
                <c:pt idx="0">
                  <c:v>2.75</c:v>
                </c:pt>
                <c:pt idx="1">
                  <c:v>2.8</c:v>
                </c:pt>
                <c:pt idx="2">
                  <c:v>2.85</c:v>
                </c:pt>
                <c:pt idx="3">
                  <c:v>2.9</c:v>
                </c:pt>
                <c:pt idx="4">
                  <c:v>2.95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</c:numCache>
            </c:numRef>
          </c:cat>
          <c:val>
            <c:numRef>
              <c:f>'8'!$I$2:$I$10</c:f>
              <c:numCache>
                <c:formatCode>#,##0.0000_ ;\-#,##0.0000\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2-46CF-BFA3-37513F13D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30320"/>
        <c:axId val="500250928"/>
      </c:lineChart>
      <c:catAx>
        <c:axId val="5041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0250928"/>
        <c:crosses val="autoZero"/>
        <c:auto val="1"/>
        <c:lblAlgn val="ctr"/>
        <c:lblOffset val="100"/>
        <c:noMultiLvlLbl val="0"/>
      </c:catAx>
      <c:valAx>
        <c:axId val="5002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1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'9'!$C$2:$C$19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0.11120000000000001</c:v>
                </c:pt>
                <c:pt idx="9">
                  <c:v>0.13700000000000001</c:v>
                </c:pt>
                <c:pt idx="10">
                  <c:v>0.14200000000000002</c:v>
                </c:pt>
                <c:pt idx="11">
                  <c:v>0.14960000000000001</c:v>
                </c:pt>
                <c:pt idx="12">
                  <c:v>0.15210000000000001</c:v>
                </c:pt>
                <c:pt idx="13">
                  <c:v>0.15810000000000002</c:v>
                </c:pt>
                <c:pt idx="14">
                  <c:v>0.1661</c:v>
                </c:pt>
                <c:pt idx="15">
                  <c:v>0.16980000000000001</c:v>
                </c:pt>
                <c:pt idx="16">
                  <c:v>0.17800000000000002</c:v>
                </c:pt>
                <c:pt idx="17">
                  <c:v>0.1875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3-4B4C-BB1D-526D4860855D}"/>
            </c:ext>
          </c:extLst>
        </c:ser>
        <c:ser>
          <c:idx val="1"/>
          <c:order val="1"/>
          <c:tx>
            <c:strRef>
              <c:f>'9'!$D$1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'9'!$D$2:$D$19</c:f>
              <c:numCache>
                <c:formatCode>#,##0.0000_ ;\-#,##0.0000\ </c:formatCode>
                <c:ptCount val="18"/>
                <c:pt idx="0">
                  <c:v>1.1872384552670506E-2</c:v>
                </c:pt>
                <c:pt idx="1">
                  <c:v>-3.5033935730001686E-3</c:v>
                </c:pt>
                <c:pt idx="2">
                  <c:v>-1.127791183548911E-2</c:v>
                </c:pt>
                <c:pt idx="3">
                  <c:v>-1.1904008264054106E-2</c:v>
                </c:pt>
                <c:pt idx="4">
                  <c:v>-5.8019024775957453E-3</c:v>
                </c:pt>
                <c:pt idx="5">
                  <c:v>6.637940761818905E-3</c:v>
                </c:pt>
                <c:pt idx="6">
                  <c:v>2.5052245652469617E-2</c:v>
                </c:pt>
                <c:pt idx="7">
                  <c:v>4.9102621419410554E-2</c:v>
                </c:pt>
                <c:pt idx="8">
                  <c:v>7.6607051803492296E-2</c:v>
                </c:pt>
                <c:pt idx="9">
                  <c:v>0.10105013140699531</c:v>
                </c:pt>
                <c:pt idx="10">
                  <c:v>0.12206126704584983</c:v>
                </c:pt>
                <c:pt idx="11">
                  <c:v>0.13981155199359427</c:v>
                </c:pt>
                <c:pt idx="12">
                  <c:v>0.15446155158829178</c:v>
                </c:pt>
                <c:pt idx="13">
                  <c:v>0.16616209874011104</c:v>
                </c:pt>
                <c:pt idx="14">
                  <c:v>0.18127378518226503</c:v>
                </c:pt>
                <c:pt idx="15">
                  <c:v>0.18618458840985733</c:v>
                </c:pt>
                <c:pt idx="16">
                  <c:v>0.18181698777201022</c:v>
                </c:pt>
                <c:pt idx="17">
                  <c:v>0.16899349574749012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63-4B4C-BB1D-526D4860855D}"/>
            </c:ext>
          </c:extLst>
        </c:ser>
        <c:ser>
          <c:idx val="2"/>
          <c:order val="2"/>
          <c:tx>
            <c:strRef>
              <c:f>'9'!$E$1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'9'!$E$2:$E$19</c:f>
              <c:numCache>
                <c:formatCode>#,##0.0000_ ;\-#,##0.0000\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9.9000000000000005E-2</c:v>
                </c:pt>
                <c:pt idx="9">
                  <c:v>0.13550000000000001</c:v>
                </c:pt>
                <c:pt idx="10">
                  <c:v>0.13950000000000001</c:v>
                </c:pt>
                <c:pt idx="11">
                  <c:v>0.1489</c:v>
                </c:pt>
                <c:pt idx="12">
                  <c:v>0.14910000000000001</c:v>
                </c:pt>
                <c:pt idx="13">
                  <c:v>0.15690000000000001</c:v>
                </c:pt>
                <c:pt idx="14">
                  <c:v>0.1658</c:v>
                </c:pt>
                <c:pt idx="15">
                  <c:v>0.1696</c:v>
                </c:pt>
                <c:pt idx="16">
                  <c:v>0.1757</c:v>
                </c:pt>
                <c:pt idx="17">
                  <c:v>0.18580000000000002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63-4B4C-BB1D-526D48608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43056"/>
        <c:axId val="359258288"/>
      </c:lineChart>
      <c:catAx>
        <c:axId val="45344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258288"/>
        <c:crosses val="autoZero"/>
        <c:auto val="1"/>
        <c:lblAlgn val="ctr"/>
        <c:lblOffset val="100"/>
        <c:noMultiLvlLbl val="0"/>
      </c:catAx>
      <c:valAx>
        <c:axId val="3592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344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9_put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'9'!$G$2:$G$19</c:f>
              <c:numCache>
                <c:formatCode>#,##0.0000_ ;\-#,##0.0000\ </c:formatCode>
                <c:ptCount val="18"/>
                <c:pt idx="0">
                  <c:v>0.28920000000000001</c:v>
                </c:pt>
                <c:pt idx="1">
                  <c:v>0.2787</c:v>
                </c:pt>
                <c:pt idx="2">
                  <c:v>0.26700000000000002</c:v>
                </c:pt>
                <c:pt idx="3">
                  <c:v>0.25459999999999999</c:v>
                </c:pt>
                <c:pt idx="4">
                  <c:v>0.24740000000000001</c:v>
                </c:pt>
                <c:pt idx="5">
                  <c:v>0.23850000000000002</c:v>
                </c:pt>
                <c:pt idx="6">
                  <c:v>0.23330000000000001</c:v>
                </c:pt>
                <c:pt idx="7">
                  <c:v>0.2283</c:v>
                </c:pt>
                <c:pt idx="8">
                  <c:v>0.2223</c:v>
                </c:pt>
                <c:pt idx="9">
                  <c:v>0.221</c:v>
                </c:pt>
                <c:pt idx="10">
                  <c:v>0.222</c:v>
                </c:pt>
                <c:pt idx="11">
                  <c:v>0.21740000000000001</c:v>
                </c:pt>
                <c:pt idx="12">
                  <c:v>0.21920000000000001</c:v>
                </c:pt>
                <c:pt idx="13">
                  <c:v>0.22650000000000001</c:v>
                </c:pt>
                <c:pt idx="14">
                  <c:v>0.23290000000000002</c:v>
                </c:pt>
                <c:pt idx="15">
                  <c:v>0.25390000000000001</c:v>
                </c:pt>
                <c:pt idx="16">
                  <c:v>0.27529999999999999</c:v>
                </c:pt>
                <c:pt idx="17">
                  <c:v>0.30130000000000001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F-46DB-9125-2A9398759D34}"/>
            </c:ext>
          </c:extLst>
        </c:ser>
        <c:ser>
          <c:idx val="1"/>
          <c:order val="1"/>
          <c:tx>
            <c:strRef>
              <c:f>'9'!$H$1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'9'!$H$2:$H$19</c:f>
              <c:numCache>
                <c:formatCode>#,##0.0000_ ;\-#,##0.0000\ </c:formatCode>
                <c:ptCount val="18"/>
                <c:pt idx="0">
                  <c:v>0.28887971332680429</c:v>
                </c:pt>
                <c:pt idx="1">
                  <c:v>0.27588232219300513</c:v>
                </c:pt>
                <c:pt idx="2">
                  <c:v>0.26440326166477335</c:v>
                </c:pt>
                <c:pt idx="3">
                  <c:v>0.25435617214507955</c:v>
                </c:pt>
                <c:pt idx="4">
                  <c:v>0.24566080571790749</c:v>
                </c:pt>
                <c:pt idx="5">
                  <c:v>0.2382424947895096</c:v>
                </c:pt>
                <c:pt idx="6">
                  <c:v>0.23203167561649157</c:v>
                </c:pt>
                <c:pt idx="7">
                  <c:v>0.22696346016824559</c:v>
                </c:pt>
                <c:pt idx="8">
                  <c:v>0.22297725065622992</c:v>
                </c:pt>
                <c:pt idx="9">
                  <c:v>0.22001639181456958</c:v>
                </c:pt>
                <c:pt idx="10">
                  <c:v>0.21802785665739061</c:v>
                </c:pt>
                <c:pt idx="11">
                  <c:v>0.21719497215633421</c:v>
                </c:pt>
                <c:pt idx="12">
                  <c:v>0.21816293904475828</c:v>
                </c:pt>
                <c:pt idx="13">
                  <c:v>0.22088997725550658</c:v>
                </c:pt>
                <c:pt idx="14">
                  <c:v>0.23127742696441092</c:v>
                </c:pt>
                <c:pt idx="15">
                  <c:v>0.24771936682920132</c:v>
                </c:pt>
                <c:pt idx="16">
                  <c:v>0.26964965693221499</c:v>
                </c:pt>
                <c:pt idx="17">
                  <c:v>0.29656425440571033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F-46DB-9125-2A9398759D34}"/>
            </c:ext>
          </c:extLst>
        </c:ser>
        <c:ser>
          <c:idx val="2"/>
          <c:order val="2"/>
          <c:tx>
            <c:strRef>
              <c:f>'9'!$I$1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'9'!$F$2:$F$19</c:f>
              <c:numCache>
                <c:formatCode>General</c:formatCode>
                <c:ptCount val="18"/>
                <c:pt idx="0">
                  <c:v>2.35</c:v>
                </c:pt>
                <c:pt idx="1">
                  <c:v>2.4</c:v>
                </c:pt>
                <c:pt idx="2">
                  <c:v>2.4500000000000002</c:v>
                </c:pt>
                <c:pt idx="3">
                  <c:v>2.5</c:v>
                </c:pt>
                <c:pt idx="4">
                  <c:v>2.5499999999999998</c:v>
                </c:pt>
                <c:pt idx="5">
                  <c:v>2.6</c:v>
                </c:pt>
                <c:pt idx="6">
                  <c:v>2.65</c:v>
                </c:pt>
                <c:pt idx="7">
                  <c:v>2.7</c:v>
                </c:pt>
                <c:pt idx="8">
                  <c:v>2.75</c:v>
                </c:pt>
                <c:pt idx="9">
                  <c:v>2.8</c:v>
                </c:pt>
                <c:pt idx="10">
                  <c:v>2.85</c:v>
                </c:pt>
                <c:pt idx="11">
                  <c:v>2.9</c:v>
                </c:pt>
                <c:pt idx="12">
                  <c:v>2.95</c:v>
                </c:pt>
                <c:pt idx="13">
                  <c:v>3</c:v>
                </c:pt>
                <c:pt idx="14">
                  <c:v>3.1</c:v>
                </c:pt>
                <c:pt idx="15">
                  <c:v>3.2</c:v>
                </c:pt>
                <c:pt idx="16">
                  <c:v>3.3</c:v>
                </c:pt>
                <c:pt idx="17">
                  <c:v>3.4</c:v>
                </c:pt>
              </c:numCache>
            </c:numRef>
          </c:cat>
          <c:val>
            <c:numRef>
              <c:f>'9'!$I$2:$I$19</c:f>
              <c:numCache>
                <c:formatCode>#,##0.0000_ ;\-#,##0.0000\ </c:formatCode>
                <c:ptCount val="18"/>
                <c:pt idx="0">
                  <c:v>0.2863</c:v>
                </c:pt>
                <c:pt idx="1">
                  <c:v>0.27629999999999999</c:v>
                </c:pt>
                <c:pt idx="2">
                  <c:v>0.26269999999999999</c:v>
                </c:pt>
                <c:pt idx="3">
                  <c:v>0.25040000000000001</c:v>
                </c:pt>
                <c:pt idx="4">
                  <c:v>0.2462</c:v>
                </c:pt>
                <c:pt idx="5">
                  <c:v>0.23780000000000001</c:v>
                </c:pt>
                <c:pt idx="6">
                  <c:v>0.23270000000000002</c:v>
                </c:pt>
                <c:pt idx="7">
                  <c:v>0.22550000000000001</c:v>
                </c:pt>
                <c:pt idx="8">
                  <c:v>0.22030000000000002</c:v>
                </c:pt>
                <c:pt idx="9">
                  <c:v>0.21780000000000002</c:v>
                </c:pt>
                <c:pt idx="10">
                  <c:v>0.217</c:v>
                </c:pt>
                <c:pt idx="11">
                  <c:v>0.216</c:v>
                </c:pt>
                <c:pt idx="12">
                  <c:v>0.2175</c:v>
                </c:pt>
                <c:pt idx="13">
                  <c:v>0.2167</c:v>
                </c:pt>
                <c:pt idx="14">
                  <c:v>0.22700000000000001</c:v>
                </c:pt>
                <c:pt idx="15">
                  <c:v>0.24300000000000002</c:v>
                </c:pt>
                <c:pt idx="16">
                  <c:v>0.26440000000000002</c:v>
                </c:pt>
                <c:pt idx="17">
                  <c:v>0.29139999999999999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5F-46DB-9125-2A9398759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28272"/>
        <c:axId val="362746160"/>
      </c:lineChart>
      <c:catAx>
        <c:axId val="44652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6160"/>
        <c:crosses val="autoZero"/>
        <c:auto val="1"/>
        <c:lblAlgn val="ctr"/>
        <c:lblOffset val="100"/>
        <c:noMultiLvlLbl val="0"/>
      </c:catAx>
      <c:valAx>
        <c:axId val="3627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652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12_call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'12'!$C$1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'12'!$C$2:$C$14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9.3800000000000008E-2</c:v>
                </c:pt>
                <c:pt idx="4">
                  <c:v>0.11700000000000001</c:v>
                </c:pt>
                <c:pt idx="5">
                  <c:v>0.13090000000000002</c:v>
                </c:pt>
                <c:pt idx="6">
                  <c:v>0.1358</c:v>
                </c:pt>
                <c:pt idx="7">
                  <c:v>0.14080000000000001</c:v>
                </c:pt>
                <c:pt idx="8">
                  <c:v>0.1477</c:v>
                </c:pt>
                <c:pt idx="9">
                  <c:v>0.15130000000000002</c:v>
                </c:pt>
                <c:pt idx="10">
                  <c:v>0.153</c:v>
                </c:pt>
                <c:pt idx="11">
                  <c:v>0.1603</c:v>
                </c:pt>
                <c:pt idx="12">
                  <c:v>0.16420000000000001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5-4A70-A761-5F002075560E}"/>
            </c:ext>
          </c:extLst>
        </c:ser>
        <c:ser>
          <c:idx val="1"/>
          <c:order val="1"/>
          <c:tx>
            <c:strRef>
              <c:f>'12'!$D$1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'12'!$D$2:$D$14</c:f>
              <c:numCache>
                <c:formatCode>#,##0.0000_ ;\-#,##0.0000\ </c:formatCode>
                <c:ptCount val="13"/>
                <c:pt idx="0">
                  <c:v>-2.7551461841610392E-2</c:v>
                </c:pt>
                <c:pt idx="1">
                  <c:v>8.00522823344757E-3</c:v>
                </c:pt>
                <c:pt idx="2">
                  <c:v>3.9201949295355434E-2</c:v>
                </c:pt>
                <c:pt idx="3">
                  <c:v>6.626990278773065E-2</c:v>
                </c:pt>
                <c:pt idx="4">
                  <c:v>8.9425081944518009E-2</c:v>
                </c:pt>
                <c:pt idx="5">
                  <c:v>0.10886950090654475</c:v>
                </c:pt>
                <c:pt idx="6">
                  <c:v>0.12479230572269244</c:v>
                </c:pt>
                <c:pt idx="7">
                  <c:v>0.13737078036722677</c:v>
                </c:pt>
                <c:pt idx="8">
                  <c:v>0.14677125925139639</c:v>
                </c:pt>
                <c:pt idx="9">
                  <c:v>0.15314995628589781</c:v>
                </c:pt>
                <c:pt idx="10">
                  <c:v>0.15743165046053878</c:v>
                </c:pt>
                <c:pt idx="11">
                  <c:v>0.15871391135483043</c:v>
                </c:pt>
                <c:pt idx="12">
                  <c:v>0.163449935257023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5-4A70-A761-5F002075560E}"/>
            </c:ext>
          </c:extLst>
        </c:ser>
        <c:ser>
          <c:idx val="2"/>
          <c:order val="2"/>
          <c:tx>
            <c:strRef>
              <c:f>'12'!$E$1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'12'!$E$2:$E$14</c:f>
              <c:numCache>
                <c:formatCode>#,##0.0000_ ;\-#,##0.0000\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0.10390000000000001</c:v>
                </c:pt>
                <c:pt idx="5">
                  <c:v>0.1193</c:v>
                </c:pt>
                <c:pt idx="6">
                  <c:v>0.12870000000000001</c:v>
                </c:pt>
                <c:pt idx="7">
                  <c:v>0.13970000000000002</c:v>
                </c:pt>
                <c:pt idx="8">
                  <c:v>0.14500000000000002</c:v>
                </c:pt>
                <c:pt idx="9">
                  <c:v>0.1482</c:v>
                </c:pt>
                <c:pt idx="10">
                  <c:v>0.15180000000000002</c:v>
                </c:pt>
                <c:pt idx="11">
                  <c:v>0.15790000000000001</c:v>
                </c:pt>
                <c:pt idx="12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5-4A70-A761-5F0020755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98848"/>
        <c:axId val="452679136"/>
      </c:lineChart>
      <c:catAx>
        <c:axId val="572398848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679136"/>
        <c:crosses val="autoZero"/>
        <c:auto val="1"/>
        <c:lblAlgn val="ctr"/>
        <c:lblOffset val="100"/>
        <c:noMultiLvlLbl val="0"/>
      </c:catAx>
      <c:valAx>
        <c:axId val="4526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23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12_put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'12'!$G$1</c:f>
              <c:strCache>
                <c:ptCount val="1"/>
                <c:pt idx="0">
                  <c:v>ask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'12'!$G$2:$G$14</c:f>
              <c:numCache>
                <c:formatCode>#,##0.0000_ ;\-#,##0.0000\ </c:formatCode>
                <c:ptCount val="13"/>
                <c:pt idx="0">
                  <c:v>0.23980000000000001</c:v>
                </c:pt>
                <c:pt idx="1">
                  <c:v>0.2412</c:v>
                </c:pt>
                <c:pt idx="2">
                  <c:v>0.23820000000000002</c:v>
                </c:pt>
                <c:pt idx="3">
                  <c:v>0.2359</c:v>
                </c:pt>
                <c:pt idx="4">
                  <c:v>0.23170000000000002</c:v>
                </c:pt>
                <c:pt idx="5">
                  <c:v>0.23020000000000002</c:v>
                </c:pt>
                <c:pt idx="6">
                  <c:v>0.2286</c:v>
                </c:pt>
                <c:pt idx="7">
                  <c:v>0.2316</c:v>
                </c:pt>
                <c:pt idx="8">
                  <c:v>0.23650000000000002</c:v>
                </c:pt>
                <c:pt idx="9">
                  <c:v>0.2354</c:v>
                </c:pt>
                <c:pt idx="10">
                  <c:v>0.24340000000000001</c:v>
                </c:pt>
                <c:pt idx="11">
                  <c:v>0.25340000000000001</c:v>
                </c:pt>
                <c:pt idx="12">
                  <c:v>0.26550000000000001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F-4971-BF10-36DC6185C2B0}"/>
            </c:ext>
          </c:extLst>
        </c:ser>
        <c:ser>
          <c:idx val="1"/>
          <c:order val="1"/>
          <c:tx>
            <c:strRef>
              <c:f>'12'!$H$1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'12'!$H$2:$H$14</c:f>
              <c:numCache>
                <c:formatCode>#,##0.0000_ ;\-#,##0.0000\ </c:formatCode>
                <c:ptCount val="13"/>
                <c:pt idx="0">
                  <c:v>0.23925575505742952</c:v>
                </c:pt>
                <c:pt idx="1">
                  <c:v>0.23917734783031241</c:v>
                </c:pt>
                <c:pt idx="2">
                  <c:v>0.23678078330081298</c:v>
                </c:pt>
                <c:pt idx="3">
                  <c:v>0.23360164446528206</c:v>
                </c:pt>
                <c:pt idx="4">
                  <c:v>0.23147455344256357</c:v>
                </c:pt>
                <c:pt idx="5">
                  <c:v>0.23035107693437559</c:v>
                </c:pt>
                <c:pt idx="6">
                  <c:v>0.23017875106370064</c:v>
                </c:pt>
                <c:pt idx="7">
                  <c:v>0.23090843347498849</c:v>
                </c:pt>
                <c:pt idx="8">
                  <c:v>0.23249404649533287</c:v>
                </c:pt>
                <c:pt idx="9">
                  <c:v>0.23489234386206564</c:v>
                </c:pt>
                <c:pt idx="10">
                  <c:v>0.24196690926684702</c:v>
                </c:pt>
                <c:pt idx="11">
                  <c:v>0.25183518035256691</c:v>
                </c:pt>
                <c:pt idx="12">
                  <c:v>0.26423372962758063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4F-4971-BF10-36DC6185C2B0}"/>
            </c:ext>
          </c:extLst>
        </c:ser>
        <c:ser>
          <c:idx val="2"/>
          <c:order val="2"/>
          <c:tx>
            <c:strRef>
              <c:f>'12'!$I$1</c:f>
              <c:strCache>
                <c:ptCount val="1"/>
                <c:pt idx="0">
                  <c:v>bid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'12'!$F$2:$F$14</c:f>
              <c:numCache>
                <c:formatCode>#,##0.0000_ ;\-#,##0.0000\ </c:formatCode>
                <c:ptCount val="13"/>
                <c:pt idx="0">
                  <c:v>2.5499999999999998</c:v>
                </c:pt>
                <c:pt idx="1">
                  <c:v>2.6</c:v>
                </c:pt>
                <c:pt idx="2">
                  <c:v>2.65</c:v>
                </c:pt>
                <c:pt idx="3">
                  <c:v>2.7</c:v>
                </c:pt>
                <c:pt idx="4">
                  <c:v>2.75</c:v>
                </c:pt>
                <c:pt idx="5">
                  <c:v>2.8</c:v>
                </c:pt>
                <c:pt idx="6">
                  <c:v>2.85</c:v>
                </c:pt>
                <c:pt idx="7">
                  <c:v>2.9</c:v>
                </c:pt>
                <c:pt idx="8">
                  <c:v>2.95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</c:numCache>
            </c:numRef>
          </c:cat>
          <c:val>
            <c:numRef>
              <c:f>'12'!$I$2:$I$14</c:f>
              <c:numCache>
                <c:formatCode>#,##0.0000_ ;\-#,##0.0000\ </c:formatCode>
                <c:ptCount val="13"/>
                <c:pt idx="0">
                  <c:v>0.23870000000000002</c:v>
                </c:pt>
                <c:pt idx="1">
                  <c:v>0.23720000000000002</c:v>
                </c:pt>
                <c:pt idx="2">
                  <c:v>0.23500000000000001</c:v>
                </c:pt>
                <c:pt idx="3">
                  <c:v>0.23370000000000002</c:v>
                </c:pt>
                <c:pt idx="4">
                  <c:v>0.23040000000000002</c:v>
                </c:pt>
                <c:pt idx="5">
                  <c:v>0.22970000000000002</c:v>
                </c:pt>
                <c:pt idx="6">
                  <c:v>0.22800000000000001</c:v>
                </c:pt>
                <c:pt idx="7">
                  <c:v>0.23080000000000001</c:v>
                </c:pt>
                <c:pt idx="8">
                  <c:v>0.23300000000000001</c:v>
                </c:pt>
                <c:pt idx="9">
                  <c:v>0.2326</c:v>
                </c:pt>
                <c:pt idx="10">
                  <c:v>0.24000000000000002</c:v>
                </c:pt>
                <c:pt idx="11">
                  <c:v>0.25190000000000001</c:v>
                </c:pt>
                <c:pt idx="12">
                  <c:v>0.26190000000000002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F-4971-BF10-36DC6185C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835152"/>
        <c:axId val="362747824"/>
      </c:lineChart>
      <c:catAx>
        <c:axId val="497835152"/>
        <c:scaling>
          <c:orientation val="minMax"/>
        </c:scaling>
        <c:delete val="0"/>
        <c:axPos val="b"/>
        <c:numFmt formatCode="#,##0.0000_ ;\-#,##0.0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2747824"/>
        <c:crosses val="autoZero"/>
        <c:auto val="1"/>
        <c:lblAlgn val="ctr"/>
        <c:lblOffset val="100"/>
        <c:noMultiLvlLbl val="0"/>
      </c:catAx>
      <c:valAx>
        <c:axId val="36274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;\-#,##0.0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8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362902</xdr:colOff>
      <xdr:row>12</xdr:row>
      <xdr:rowOff>167640</xdr:rowOff>
    </xdr:from>
    <xdr:to>
      <xdr:col>5</xdr:col>
      <xdr:colOff>11430</xdr:colOff>
      <xdr:row>28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834390</xdr:colOff>
      <xdr:row>13</xdr:row>
      <xdr:rowOff>19050</xdr:rowOff>
    </xdr:from>
    <xdr:to>
      <xdr:col>11</xdr:col>
      <xdr:colOff>0</xdr:colOff>
      <xdr:row>28</xdr:row>
      <xdr:rowOff>104775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167640</xdr:rowOff>
    </xdr:from>
    <xdr:to>
      <xdr:col>5</xdr:col>
      <xdr:colOff>19050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650184</xdr:colOff>
      <xdr:row>10</xdr:row>
      <xdr:rowOff>11927</xdr:rowOff>
    </xdr:from>
    <xdr:to>
      <xdr:col>9</xdr:col>
      <xdr:colOff>999959</xdr:colOff>
      <xdr:row>25</xdr:row>
      <xdr:rowOff>151820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7620</xdr:rowOff>
    </xdr:from>
    <xdr:to>
      <xdr:col>5</xdr:col>
      <xdr:colOff>0</xdr:colOff>
      <xdr:row>36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</xdr:colOff>
      <xdr:row>19</xdr:row>
      <xdr:rowOff>160020</xdr:rowOff>
    </xdr:from>
    <xdr:to>
      <xdr:col>11</xdr:col>
      <xdr:colOff>0</xdr:colOff>
      <xdr:row>35</xdr:row>
      <xdr:rowOff>160020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14</xdr:row>
      <xdr:rowOff>104775</xdr:rowOff>
    </xdr:from>
    <xdr:to>
      <xdr:col>5</xdr:col>
      <xdr:colOff>1905</xdr:colOff>
      <xdr:row>31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14</xdr:row>
      <xdr:rowOff>110490</xdr:rowOff>
    </xdr:from>
    <xdr:to>
      <xdr:col>10</xdr:col>
      <xdr:colOff>304800</xdr:colOff>
      <xdr:row>31</xdr:row>
      <xdr:rowOff>57150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86259</xdr:colOff>
      <xdr:row>13</xdr:row>
      <xdr:rowOff>128353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94298</xdr:colOff>
      <xdr:row>0</xdr:row>
      <xdr:rowOff>0</xdr:rowOff>
    </xdr:from>
    <xdr:to>
      <xdr:col>14</xdr:col>
      <xdr:colOff>294861</xdr:colOff>
      <xdr:row>13</xdr:row>
      <xdr:rowOff>142875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142875</xdr:rowOff>
    </xdr:from>
    <xdr:to>
      <xdr:col>7</xdr:col>
      <xdr:colOff>75619</xdr:colOff>
      <xdr:row>27</xdr:row>
      <xdr:rowOff>78230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76200</xdr:colOff>
      <xdr:row>13</xdr:row>
      <xdr:rowOff>153477</xdr:rowOff>
    </xdr:from>
    <xdr:to>
      <xdr:col>14</xdr:col>
      <xdr:colOff>278130</xdr:colOff>
      <xdr:row>27</xdr:row>
      <xdr:rowOff>114190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304800</xdr:colOff>
      <xdr:row>0</xdr:row>
      <xdr:rowOff>0</xdr:rowOff>
    </xdr:from>
    <xdr:to>
      <xdr:col>21</xdr:col>
      <xdr:colOff>548640</xdr:colOff>
      <xdr:row>13</xdr:row>
      <xdr:rowOff>152400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544830</xdr:colOff>
      <xdr:row>0</xdr:row>
      <xdr:rowOff>0</xdr:rowOff>
    </xdr:from>
    <xdr:to>
      <xdr:col>28</xdr:col>
      <xdr:colOff>409575</xdr:colOff>
      <xdr:row>13</xdr:row>
      <xdr:rowOff>114300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285751</xdr:colOff>
      <xdr:row>13</xdr:row>
      <xdr:rowOff>133349</xdr:rowOff>
    </xdr:from>
    <xdr:to>
      <xdr:col>21</xdr:col>
      <xdr:colOff>571501</xdr:colOff>
      <xdr:row>27</xdr:row>
      <xdr:rowOff>85724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554355</xdr:colOff>
      <xdr:row>13</xdr:row>
      <xdr:rowOff>114300</xdr:rowOff>
    </xdr:from>
    <xdr:to>
      <xdr:col>28</xdr:col>
      <xdr:colOff>428625</xdr:colOff>
      <xdr:row>27</xdr:row>
      <xdr:rowOff>66675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25</xdr:row>
          <xdr:rowOff>91440</xdr:rowOff>
        </xdr:from>
        <xdr:to>
          <xdr:col>7</xdr:col>
          <xdr:colOff>365760</xdr:colOff>
          <xdr:row>27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121920</xdr:colOff>
          <xdr:row>11</xdr:row>
          <xdr:rowOff>114300</xdr:rowOff>
        </xdr:from>
        <xdr:to>
          <xdr:col>22</xdr:col>
          <xdr:colOff>320040</xdr:colOff>
          <xdr:row>13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182880</xdr:colOff>
          <xdr:row>25</xdr:row>
          <xdr:rowOff>106680</xdr:rowOff>
        </xdr:from>
        <xdr:to>
          <xdr:col>22</xdr:col>
          <xdr:colOff>381000</xdr:colOff>
          <xdr:row>27</xdr:row>
          <xdr:rowOff>137160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11</xdr:row>
          <xdr:rowOff>53340</xdr:rowOff>
        </xdr:from>
        <xdr:to>
          <xdr:col>7</xdr:col>
          <xdr:colOff>502920</xdr:colOff>
          <xdr:row>13</xdr:row>
          <xdr:rowOff>91440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fit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15E8-71AB-4985-9D8E-8065FF243429}">
  <sheetPr codeName="Sheet2"/>
  <dimension ref="A1:DC19"/>
  <sheetViews>
    <sheetView workbookViewId="0">
      <selection activeCell="D5" sqref="D5"/>
    </sheetView>
  </sheetViews>
  <sheetFormatPr defaultRowHeight="13.8" x14ac:dyDescent="0.25"/>
  <cols>
    <col min="2" max="2" width="28.6640625" customWidth="1"/>
    <col min="5" max="5" width="23.6640625" customWidth="1"/>
    <col min="6" max="6" width="12.33203125" customWidth="1"/>
    <col min="7" max="8" width="21.5546875" customWidth="1"/>
    <col min="10" max="10" width="14.77734375" customWidth="1"/>
  </cols>
  <sheetData>
    <row r="1" spans="1:107" x14ac:dyDescent="0.25">
      <c r="A1" s="1" t="s">
        <v>208</v>
      </c>
      <c r="B1" s="1" t="s">
        <v>209</v>
      </c>
      <c r="C1" s="1" t="s">
        <v>211</v>
      </c>
      <c r="D1" s="1" t="s">
        <v>213</v>
      </c>
      <c r="E1" s="1" t="s">
        <v>210</v>
      </c>
      <c r="F1" s="4" t="s">
        <v>212</v>
      </c>
      <c r="G1" s="1" t="s">
        <v>211</v>
      </c>
      <c r="H1" s="1" t="s">
        <v>213</v>
      </c>
      <c r="I1" s="1" t="s">
        <v>210</v>
      </c>
      <c r="J1" s="1" t="s">
        <v>209</v>
      </c>
      <c r="K1" s="1" t="s">
        <v>208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7" x14ac:dyDescent="0.25">
      <c r="A2" s="1" t="s">
        <v>58</v>
      </c>
      <c r="B2" s="1" t="s">
        <v>162</v>
      </c>
      <c r="C2" s="2">
        <f>RTD("wdf.rtq", ,"10002527.SH", "rt_ask1_ivl","RT_Price")</f>
        <v>0</v>
      </c>
      <c r="D2" s="2">
        <v>5.2473431109341384E-3</v>
      </c>
      <c r="E2" s="2">
        <f>RTD("wdf.rtq", ,"10002527.SH", "rt_bid1_ivl","RT_Price")</f>
        <v>0</v>
      </c>
      <c r="F2" s="5">
        <v>2.6</v>
      </c>
      <c r="G2" s="2">
        <f>RTD("wdf.rtq", ,"10002536.SH", "rt_ask1_ivl","RT_Price")</f>
        <v>0.28810000000000002</v>
      </c>
      <c r="H2" s="2">
        <v>0.28692699833639368</v>
      </c>
      <c r="I2" s="2">
        <f>RTD("wdf.rtq", ,"10002536.SH", "rt_bid1_ivl","RT_Price")</f>
        <v>0.28689999999999999</v>
      </c>
      <c r="J2" s="1" t="s">
        <v>171</v>
      </c>
      <c r="K2" s="1" t="s">
        <v>67</v>
      </c>
    </row>
    <row r="3" spans="1:107" x14ac:dyDescent="0.25">
      <c r="A3" s="1" t="s">
        <v>59</v>
      </c>
      <c r="B3" s="1" t="s">
        <v>163</v>
      </c>
      <c r="C3" s="2">
        <f>RTD("wdf.rtq", ,"10002528.SH", "rt_ask1_ivl","RT_Price")</f>
        <v>0</v>
      </c>
      <c r="D3" s="2">
        <v>-8.0914605277594143E-3</v>
      </c>
      <c r="E3" s="2">
        <f>RTD("wdf.rtq", ,"10002528.SH", "rt_bid1_ivl","RT_Price")</f>
        <v>0</v>
      </c>
      <c r="F3" s="5">
        <v>2.65</v>
      </c>
      <c r="G3" s="2">
        <f>RTD("wdf.rtq", ,"10002537.SH", "rt_ask1_ivl","RT_Price")</f>
        <v>0.2661</v>
      </c>
      <c r="H3" s="2">
        <v>0.26627632903166709</v>
      </c>
      <c r="I3" s="2">
        <f>RTD("wdf.rtq", ,"10002537.SH", "rt_bid1_ivl","RT_Price")</f>
        <v>0.2651</v>
      </c>
      <c r="J3" s="1" t="s">
        <v>172</v>
      </c>
      <c r="K3" s="1" t="s">
        <v>68</v>
      </c>
    </row>
    <row r="4" spans="1:107" x14ac:dyDescent="0.25">
      <c r="A4" s="1" t="s">
        <v>60</v>
      </c>
      <c r="B4" s="1" t="s">
        <v>164</v>
      </c>
      <c r="C4" s="2">
        <f>RTD("wdf.rtq", ,"10002529.SH", "rt_ask1_ivl","RT_Price")</f>
        <v>0</v>
      </c>
      <c r="D4" s="2">
        <v>-5.8671398499702473E-3</v>
      </c>
      <c r="E4" s="2">
        <f>RTD("wdf.rtq", ,"10002529.SH", "rt_bid1_ivl","RT_Price")</f>
        <v>0</v>
      </c>
      <c r="F4" s="5">
        <v>2.7</v>
      </c>
      <c r="G4" s="2">
        <f>RTD("wdf.rtq", ,"10002538.SH", "rt_ask1_ivl","RT_Price")</f>
        <v>0.2485</v>
      </c>
      <c r="H4" s="2">
        <v>0.24860586655906808</v>
      </c>
      <c r="I4" s="2">
        <f>RTD("wdf.rtq", ,"10002538.SH", "rt_bid1_ivl","RT_Price")</f>
        <v>0.24780000000000002</v>
      </c>
      <c r="J4" s="1" t="s">
        <v>173</v>
      </c>
      <c r="K4" s="1" t="s">
        <v>69</v>
      </c>
    </row>
    <row r="5" spans="1:107" x14ac:dyDescent="0.25">
      <c r="A5" s="1" t="s">
        <v>61</v>
      </c>
      <c r="B5" s="1" t="s">
        <v>165</v>
      </c>
      <c r="C5" s="2">
        <f>RTD("wdf.rtq", ,"10002530.SH", "rt_ask1_ivl","RT_Price")</f>
        <v>0</v>
      </c>
      <c r="D5" s="2">
        <v>1.1070699557802887E-2</v>
      </c>
      <c r="E5" s="2">
        <f>RTD("wdf.rtq", ,"10002530.SH", "rt_bid1_ivl","RT_Price")</f>
        <v>0</v>
      </c>
      <c r="F5" s="5">
        <v>2.75</v>
      </c>
      <c r="G5" s="2">
        <f>RTD("wdf.rtq", ,"10002539.SH", "rt_ask1_ivl","RT_Price")</f>
        <v>0.23390000000000002</v>
      </c>
      <c r="H5" s="2">
        <v>0.23375906900307517</v>
      </c>
      <c r="I5" s="2">
        <f>RTD("wdf.rtq", ,"10002539.SH", "rt_bid1_ivl","RT_Price")</f>
        <v>0.23330000000000001</v>
      </c>
      <c r="J5" s="1" t="s">
        <v>174</v>
      </c>
      <c r="K5" s="1" t="s">
        <v>70</v>
      </c>
    </row>
    <row r="6" spans="1:107" x14ac:dyDescent="0.25">
      <c r="A6" s="1" t="s">
        <v>62</v>
      </c>
      <c r="B6" s="1" t="s">
        <v>166</v>
      </c>
      <c r="C6" s="2">
        <f>RTD("wdf.rtq", ,"10002531.SH", "rt_ask1_ivl","RT_Price")</f>
        <v>0</v>
      </c>
      <c r="D6" s="2">
        <v>4.1928326447000473E-2</v>
      </c>
      <c r="E6" s="2">
        <f>RTD("wdf.rtq", ,"10002531.SH", "rt_bid1_ivl","RT_Price")</f>
        <v>0</v>
      </c>
      <c r="F6" s="5">
        <v>2.8</v>
      </c>
      <c r="G6" s="2">
        <f>RTD("wdf.rtq", ,"10002540.SH", "rt_ask1_ivl","RT_Price")</f>
        <v>0.2228</v>
      </c>
      <c r="H6" s="2">
        <v>0.22158954175307127</v>
      </c>
      <c r="I6" s="2">
        <f>RTD("wdf.rtq", ,"10002540.SH", "rt_bid1_ivl","RT_Price")</f>
        <v>0.22240000000000001</v>
      </c>
      <c r="J6" s="1" t="s">
        <v>175</v>
      </c>
      <c r="K6" s="1" t="s">
        <v>71</v>
      </c>
    </row>
    <row r="7" spans="1:107" x14ac:dyDescent="0.25">
      <c r="A7" s="1" t="s">
        <v>63</v>
      </c>
      <c r="B7" s="1" t="s">
        <v>167</v>
      </c>
      <c r="C7" s="2">
        <f>RTD("wdf.rtq", ,"10002532.SH", "rt_ask1_ivl","RT_Price")</f>
        <v>0.11850000000000001</v>
      </c>
      <c r="D7" s="2">
        <v>7.8167233288542776E-2</v>
      </c>
      <c r="E7" s="2">
        <f>RTD("wdf.rtq", ,"10002532.SH", "rt_bid1_ivl","RT_Price")</f>
        <v>0.11610000000000001</v>
      </c>
      <c r="F7" s="5">
        <v>2.85</v>
      </c>
      <c r="G7" s="2">
        <f>RTD("wdf.rtq", ,"10002541.SH", "rt_ask1_ivl","RT_Price")</f>
        <v>0.2147</v>
      </c>
      <c r="H7" s="2">
        <v>0.21196023033776584</v>
      </c>
      <c r="I7" s="2">
        <f>RTD("wdf.rtq", ,"10002541.SH", "rt_bid1_ivl","RT_Price")</f>
        <v>0.21430000000000002</v>
      </c>
      <c r="J7" s="1" t="s">
        <v>176</v>
      </c>
      <c r="K7" s="1" t="s">
        <v>72</v>
      </c>
    </row>
    <row r="8" spans="1:107" x14ac:dyDescent="0.25">
      <c r="A8" s="1" t="s">
        <v>64</v>
      </c>
      <c r="B8" s="1" t="s">
        <v>168</v>
      </c>
      <c r="C8" s="2">
        <f>RTD("wdf.rtq", ,"10002533.SH", "rt_ask1_ivl","RT_Price")</f>
        <v>0.13570000000000002</v>
      </c>
      <c r="D8" s="2">
        <v>0.10875387154928712</v>
      </c>
      <c r="E8" s="2">
        <f>RTD("wdf.rtq", ,"10002533.SH", "rt_bid1_ivl","RT_Price")</f>
        <v>0.1321</v>
      </c>
      <c r="F8" s="5">
        <v>2.9</v>
      </c>
      <c r="G8" s="2">
        <f>RTD("wdf.rtq", ,"10002542.SH", "rt_ask1_ivl","RT_Price")</f>
        <v>0.20660000000000001</v>
      </c>
      <c r="H8" s="2">
        <v>0.20617186642805188</v>
      </c>
      <c r="I8" s="2">
        <f>RTD("wdf.rtq", ,"10002542.SH", "rt_bid1_ivl","RT_Price")</f>
        <v>0.20630000000000001</v>
      </c>
      <c r="J8" s="1" t="s">
        <v>177</v>
      </c>
      <c r="K8" s="1" t="s">
        <v>73</v>
      </c>
    </row>
    <row r="9" spans="1:107" x14ac:dyDescent="0.25">
      <c r="A9" s="1" t="s">
        <v>65</v>
      </c>
      <c r="B9" s="1" t="s">
        <v>169</v>
      </c>
      <c r="C9" s="2">
        <f>RTD("wdf.rtq", ,"10002534.SH", "rt_ask1_ivl","RT_Price")</f>
        <v>0.14130000000000001</v>
      </c>
      <c r="D9" s="2">
        <v>0.13389402417680768</v>
      </c>
      <c r="E9" s="2">
        <f>RTD("wdf.rtq", ,"10002534.SH", "rt_bid1_ivl","RT_Price")</f>
        <v>0.14070000000000002</v>
      </c>
      <c r="F9" s="5">
        <v>2.95</v>
      </c>
      <c r="G9" s="2">
        <f>RTD("wdf.rtq", ,"10002543.SH", "rt_ask1_ivl","RT_Price")</f>
        <v>0.2019</v>
      </c>
      <c r="H9" s="2">
        <v>0.20676015542082807</v>
      </c>
      <c r="I9" s="2">
        <f>RTD("wdf.rtq", ,"10002543.SH", "rt_bid1_ivl","RT_Price")</f>
        <v>0.2016</v>
      </c>
      <c r="J9" s="1" t="s">
        <v>178</v>
      </c>
      <c r="K9" s="1" t="s">
        <v>74</v>
      </c>
    </row>
    <row r="10" spans="1:107" x14ac:dyDescent="0.25">
      <c r="A10" s="1" t="s">
        <v>66</v>
      </c>
      <c r="B10" s="1" t="s">
        <v>170</v>
      </c>
      <c r="C10" s="2">
        <f>RTD("wdf.rtq", ,"10002535.SH", "rt_ask1_ivl","RT_Price")</f>
        <v>0.1459</v>
      </c>
      <c r="D10" s="2">
        <v>0.15385283972863309</v>
      </c>
      <c r="E10" s="2">
        <f>RTD("wdf.rtq", ,"10002535.SH", "rt_bid1_ivl","RT_Price")</f>
        <v>0.14500000000000002</v>
      </c>
      <c r="F10" s="5">
        <v>3</v>
      </c>
      <c r="G10" s="2">
        <f>RTD("wdf.rtq", ,"10002544.SH", "rt_ask1_ivl","RT_Price")</f>
        <v>0.2147</v>
      </c>
      <c r="H10" s="2">
        <v>0.21347494277202636</v>
      </c>
      <c r="I10" s="2">
        <f>RTD("wdf.rtq", ,"10002544.SH", "rt_bid1_ivl","RT_Price")</f>
        <v>0.21440000000000001</v>
      </c>
      <c r="J10" s="1" t="s">
        <v>179</v>
      </c>
      <c r="K10" s="1" t="s">
        <v>75</v>
      </c>
    </row>
    <row r="11" spans="1:107" x14ac:dyDescent="0.25">
      <c r="A11" s="1" t="s">
        <v>76</v>
      </c>
      <c r="B11" s="1" t="s">
        <v>180</v>
      </c>
      <c r="C11" s="2">
        <f>RTD("wdf.rtq", ,"10002565.SH", "rt_ask1_ivl","RT_Price")</f>
        <v>0.15590000000000001</v>
      </c>
      <c r="D11" s="2">
        <v>0.1792090157782627</v>
      </c>
      <c r="E11" s="2">
        <f>RTD("wdf.rtq", ,"10002565.SH", "rt_bid1_ivl","RT_Price")</f>
        <v>0.15540000000000001</v>
      </c>
      <c r="F11" s="5">
        <v>3.1</v>
      </c>
      <c r="G11" s="2">
        <f>RTD("wdf.rtq", ,"10002566.SH", "rt_ask1_ivl","RT_Price")</f>
        <v>0.24080000000000001</v>
      </c>
      <c r="H11" s="2">
        <v>0.24408948833716573</v>
      </c>
      <c r="I11" s="2">
        <f>RTD("wdf.rtq", ,"10002566.SH", "rt_bid1_ivl","RT_Price")</f>
        <v>0.23710000000000001</v>
      </c>
      <c r="J11" s="1" t="s">
        <v>181</v>
      </c>
      <c r="K11" s="1" t="s">
        <v>77</v>
      </c>
    </row>
    <row r="12" spans="1:107" x14ac:dyDescent="0.25">
      <c r="A12" s="1" t="s">
        <v>78</v>
      </c>
      <c r="B12" s="1" t="s">
        <v>182</v>
      </c>
      <c r="C12" s="2">
        <f>RTD("wdf.rtq", ,"10002569.SH", "rt_ask1_ivl","RT_Price")</f>
        <v>0.17730000000000001</v>
      </c>
      <c r="D12" s="2">
        <v>0.18664698592231632</v>
      </c>
      <c r="E12" s="2">
        <f>RTD("wdf.rtq", ,"10002569.SH", "rt_bid1_ivl","RT_Price")</f>
        <v>0.17630000000000001</v>
      </c>
      <c r="F12" s="5">
        <v>3.2</v>
      </c>
      <c r="G12" s="2">
        <f>RTD("wdf.rtq", ,"10002570.SH", "rt_ask1_ivl","RT_Price")</f>
        <v>0.30870000000000003</v>
      </c>
      <c r="H12" s="2">
        <v>0.29579905270825757</v>
      </c>
      <c r="I12" s="2">
        <f>RTD("wdf.rtq", ,"10002570.SH", "rt_bid1_ivl","RT_Price")</f>
        <v>0.3049</v>
      </c>
      <c r="J12" s="1" t="s">
        <v>183</v>
      </c>
      <c r="K12" s="1" t="s">
        <v>79</v>
      </c>
    </row>
    <row r="13" spans="1:107" x14ac:dyDescent="0.25">
      <c r="A13" s="1" t="s">
        <v>82</v>
      </c>
      <c r="B13" s="1" t="s">
        <v>186</v>
      </c>
      <c r="C13" s="2">
        <f>RTD("wdf.rtq", ,"10002577.SH", "rt_ask1_ivl","RT_Price")</f>
        <v>0.19460000000000002</v>
      </c>
      <c r="D13" s="2">
        <v>0.17778826028257347</v>
      </c>
      <c r="E13" s="2">
        <f>RTD("wdf.rtq", ,"10002577.SH", "rt_bid1_ivl","RT_Price")</f>
        <v>0.19040000000000001</v>
      </c>
      <c r="F13" s="5">
        <v>3.3</v>
      </c>
      <c r="G13" s="2">
        <f>RTD("wdf.rtq", ,"10002578.SH", "rt_ask1_ivl","RT_Price")</f>
        <v>0.37030000000000002</v>
      </c>
      <c r="H13" s="2">
        <v>0.36663646088671653</v>
      </c>
      <c r="I13" s="2">
        <f>RTD("wdf.rtq", ,"10002578.SH", "rt_bid1_ivl","RT_Price")</f>
        <v>0.35289999999999999</v>
      </c>
      <c r="J13" s="1" t="s">
        <v>187</v>
      </c>
      <c r="K13" s="1" t="s">
        <v>83</v>
      </c>
    </row>
    <row r="14" spans="1:107" x14ac:dyDescent="0.25">
      <c r="D14">
        <v>0.78749999999999998</v>
      </c>
      <c r="H14" s="2">
        <v>0</v>
      </c>
    </row>
    <row r="15" spans="1:107" x14ac:dyDescent="0.25">
      <c r="D15">
        <v>0.78749999999999998</v>
      </c>
      <c r="H15" s="2">
        <v>0</v>
      </c>
    </row>
    <row r="16" spans="1:107" x14ac:dyDescent="0.25">
      <c r="D16">
        <v>0.78749999999999998</v>
      </c>
      <c r="H16" s="2">
        <v>0</v>
      </c>
    </row>
    <row r="17" spans="4:8" x14ac:dyDescent="0.25">
      <c r="D17">
        <v>0.78749999999999998</v>
      </c>
      <c r="H17" s="2">
        <v>0</v>
      </c>
    </row>
    <row r="18" spans="4:8" x14ac:dyDescent="0.25">
      <c r="D18">
        <v>0.78749999999999998</v>
      </c>
      <c r="H18" s="2">
        <v>0</v>
      </c>
    </row>
    <row r="19" spans="4:8" x14ac:dyDescent="0.25">
      <c r="D19">
        <v>0.78749999999999998</v>
      </c>
      <c r="H19" s="2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D1071-8616-4D1C-ACB3-F29F14BF21C8}">
  <sheetPr codeName="Sheet3"/>
  <dimension ref="A1:K10"/>
  <sheetViews>
    <sheetView zoomScale="115" zoomScaleNormal="115" workbookViewId="0">
      <selection activeCell="D5" sqref="D5"/>
    </sheetView>
  </sheetViews>
  <sheetFormatPr defaultRowHeight="13.8" x14ac:dyDescent="0.25"/>
  <cols>
    <col min="3" max="3" width="14.21875" customWidth="1"/>
    <col min="4" max="4" width="17.77734375" customWidth="1"/>
    <col min="5" max="5" width="16.6640625" customWidth="1"/>
    <col min="6" max="6" width="9.5546875" customWidth="1"/>
    <col min="7" max="8" width="15.88671875" customWidth="1"/>
    <col min="9" max="9" width="20.44140625" customWidth="1"/>
    <col min="10" max="10" width="17.88671875" customWidth="1"/>
  </cols>
  <sheetData>
    <row r="1" spans="1:11" x14ac:dyDescent="0.25">
      <c r="A1" t="s">
        <v>208</v>
      </c>
      <c r="B1" t="s">
        <v>209</v>
      </c>
      <c r="C1" t="s">
        <v>211</v>
      </c>
      <c r="D1" t="s">
        <v>213</v>
      </c>
      <c r="E1" t="s">
        <v>210</v>
      </c>
      <c r="F1" s="6" t="s">
        <v>212</v>
      </c>
      <c r="G1" t="s">
        <v>211</v>
      </c>
      <c r="H1" t="s">
        <v>213</v>
      </c>
      <c r="I1" t="s">
        <v>210</v>
      </c>
      <c r="J1" t="s">
        <v>209</v>
      </c>
      <c r="K1" t="s">
        <v>208</v>
      </c>
    </row>
    <row r="2" spans="1:11" x14ac:dyDescent="0.25">
      <c r="A2" s="1" t="s">
        <v>86</v>
      </c>
      <c r="B2" s="1" t="s">
        <v>190</v>
      </c>
      <c r="C2" s="2">
        <f>RTD("wdf.rtq", ,"10002585.SH", "rt_ask1_ivl","RT_Price")</f>
        <v>0</v>
      </c>
      <c r="D2" s="2">
        <v>7.9711607143835614E-8</v>
      </c>
      <c r="E2" s="2">
        <f>RTD("wdf.rtq", ,"10002585.SH", "rt_bid1_ivl","RT_Price")</f>
        <v>0</v>
      </c>
      <c r="F2" s="5">
        <v>2.75</v>
      </c>
      <c r="G2" s="2">
        <f>RTD("wdf.rtq", ,"10002594.SH", "rt_ask1_ivl","RT_Price")</f>
        <v>0</v>
      </c>
      <c r="H2" s="2">
        <v>-7.402596439018658E-8</v>
      </c>
      <c r="I2" s="2">
        <f>RTD("wdf.rtq", ,"10002594.SH", "rt_bid1_ivl","RT_Price")</f>
        <v>0</v>
      </c>
      <c r="J2" s="1" t="s">
        <v>199</v>
      </c>
      <c r="K2" s="1" t="s">
        <v>95</v>
      </c>
    </row>
    <row r="3" spans="1:11" x14ac:dyDescent="0.25">
      <c r="A3" s="1" t="s">
        <v>87</v>
      </c>
      <c r="B3" s="1" t="s">
        <v>191</v>
      </c>
      <c r="C3" s="2">
        <f>RTD("wdf.rtq", ,"10002586.SH", "rt_ask1_ivl","RT_Price")</f>
        <v>0</v>
      </c>
      <c r="D3" s="2">
        <v>8.0129804171152927E-8</v>
      </c>
      <c r="E3" s="2">
        <f>RTD("wdf.rtq", ,"10002586.SH", "rt_bid1_ivl","RT_Price")</f>
        <v>0</v>
      </c>
      <c r="F3" s="5">
        <v>2.8</v>
      </c>
      <c r="G3" s="2">
        <f>RTD("wdf.rtq", ,"10002595.SH", "rt_ask1_ivl","RT_Price")</f>
        <v>0</v>
      </c>
      <c r="H3" s="2">
        <v>-2.8174421510147049E-8</v>
      </c>
      <c r="I3" s="2">
        <f>RTD("wdf.rtq", ,"10002595.SH", "rt_bid1_ivl","RT_Price")</f>
        <v>0</v>
      </c>
      <c r="J3" s="1" t="s">
        <v>200</v>
      </c>
      <c r="K3" s="1" t="s">
        <v>96</v>
      </c>
    </row>
    <row r="4" spans="1:11" x14ac:dyDescent="0.25">
      <c r="A4" s="1" t="s">
        <v>88</v>
      </c>
      <c r="B4" s="1" t="s">
        <v>192</v>
      </c>
      <c r="C4" s="2">
        <f>RTD("wdf.rtq", ,"10002587.SH", "rt_ask1_ivl","RT_Price")</f>
        <v>0</v>
      </c>
      <c r="D4" s="2">
        <v>8.054059910208688E-8</v>
      </c>
      <c r="E4" s="2">
        <f>RTD("wdf.rtq", ,"10002587.SH", "rt_bid1_ivl","RT_Price")</f>
        <v>0</v>
      </c>
      <c r="F4" s="5">
        <v>2.85</v>
      </c>
      <c r="G4" s="2">
        <f>RTD("wdf.rtq", ,"10002596.SH", "rt_ask1_ivl","RT_Price")</f>
        <v>0</v>
      </c>
      <c r="H4" s="2">
        <v>7.0269425786428308E-9</v>
      </c>
      <c r="I4" s="2">
        <f>RTD("wdf.rtq", ,"10002596.SH", "rt_bid1_ivl","RT_Price")</f>
        <v>0</v>
      </c>
      <c r="J4" s="1" t="s">
        <v>201</v>
      </c>
      <c r="K4" s="1" t="s">
        <v>97</v>
      </c>
    </row>
    <row r="5" spans="1:11" x14ac:dyDescent="0.25">
      <c r="A5" s="1" t="s">
        <v>89</v>
      </c>
      <c r="B5" s="1" t="s">
        <v>193</v>
      </c>
      <c r="C5" s="2">
        <f>RTD("wdf.rtq", ,"10002588.SH", "rt_ask1_ivl","RT_Price")</f>
        <v>0</v>
      </c>
      <c r="D5" s="2">
        <v>8.0944249420490439E-8</v>
      </c>
      <c r="E5" s="2">
        <f>RTD("wdf.rtq", ,"10002588.SH", "rt_bid1_ivl","RT_Price")</f>
        <v>0</v>
      </c>
      <c r="F5" s="5">
        <v>2.9</v>
      </c>
      <c r="G5" s="2">
        <f>RTD("wdf.rtq", ,"10002597.SH", "rt_ask1_ivl","RT_Price")</f>
        <v>0</v>
      </c>
      <c r="H5" s="2">
        <v>3.2118228654696359E-8</v>
      </c>
      <c r="I5" s="2">
        <f>RTD("wdf.rtq", ,"10002597.SH", "rt_bid1_ivl","RT_Price")</f>
        <v>0</v>
      </c>
      <c r="J5" s="1" t="s">
        <v>202</v>
      </c>
      <c r="K5" s="1" t="s">
        <v>98</v>
      </c>
    </row>
    <row r="6" spans="1:11" x14ac:dyDescent="0.25">
      <c r="A6" s="1" t="s">
        <v>90</v>
      </c>
      <c r="B6" s="1" t="s">
        <v>194</v>
      </c>
      <c r="C6" s="2">
        <f>RTD("wdf.rtq", ,"10002589.SH", "rt_ask1_ivl","RT_Price")</f>
        <v>0</v>
      </c>
      <c r="D6" s="2">
        <v>8.1340999404602132E-8</v>
      </c>
      <c r="E6" s="2">
        <f>RTD("wdf.rtq", ,"10002589.SH", "rt_bid1_ivl","RT_Price")</f>
        <v>0</v>
      </c>
      <c r="F6" s="5">
        <v>2.95</v>
      </c>
      <c r="G6" s="2">
        <f>RTD("wdf.rtq", ,"10002598.SH", "rt_ask1_ivl","RT_Price")</f>
        <v>0</v>
      </c>
      <c r="H6" s="2">
        <v>4.7606086740843739E-8</v>
      </c>
      <c r="I6" s="2">
        <f>RTD("wdf.rtq", ,"10002598.SH", "rt_bid1_ivl","RT_Price")</f>
        <v>0</v>
      </c>
      <c r="J6" s="1" t="s">
        <v>203</v>
      </c>
      <c r="K6" s="1" t="s">
        <v>99</v>
      </c>
    </row>
    <row r="7" spans="1:11" x14ac:dyDescent="0.25">
      <c r="A7" s="1" t="s">
        <v>91</v>
      </c>
      <c r="B7" s="1" t="s">
        <v>195</v>
      </c>
      <c r="C7" s="2">
        <f>RTD("wdf.rtq", ,"10002590.SH", "rt_ask1_ivl","RT_Price")</f>
        <v>0</v>
      </c>
      <c r="D7" s="2">
        <v>8.1731081014926436E-8</v>
      </c>
      <c r="E7" s="2">
        <f>RTD("wdf.rtq", ,"10002590.SH", "rt_bid1_ivl","RT_Price")</f>
        <v>0</v>
      </c>
      <c r="F7" s="5">
        <v>3</v>
      </c>
      <c r="G7" s="2">
        <f>RTD("wdf.rtq", ,"10002599.SH", "rt_ask1_ivl","RT_Price")</f>
        <v>0</v>
      </c>
      <c r="H7" s="2">
        <v>5.3966252722826904E-8</v>
      </c>
      <c r="I7" s="2">
        <f>RTD("wdf.rtq", ,"10002599.SH", "rt_bid1_ivl","RT_Price")</f>
        <v>0</v>
      </c>
      <c r="J7" s="1" t="s">
        <v>204</v>
      </c>
      <c r="K7" s="1" t="s">
        <v>100</v>
      </c>
    </row>
    <row r="8" spans="1:11" x14ac:dyDescent="0.25">
      <c r="A8" s="1" t="s">
        <v>92</v>
      </c>
      <c r="B8" s="1" t="s">
        <v>196</v>
      </c>
      <c r="C8" s="2">
        <f>RTD("wdf.rtq", ,"10002591.SH", "rt_ask1_ivl","RT_Price")</f>
        <v>0</v>
      </c>
      <c r="D8" s="2">
        <v>8.2492110188279936E-8</v>
      </c>
      <c r="E8" s="2">
        <f>RTD("wdf.rtq", ,"10002591.SH", "rt_bid1_ivl","RT_Price")</f>
        <v>0</v>
      </c>
      <c r="F8" s="5">
        <v>3.1</v>
      </c>
      <c r="G8" s="2">
        <f>RTD("wdf.rtq", ,"10002600.SH", "rt_ask1_ivl","RT_Price")</f>
        <v>0</v>
      </c>
      <c r="H8" s="2">
        <v>4.1065525077515852E-8</v>
      </c>
      <c r="I8" s="2">
        <f>RTD("wdf.rtq", ,"10002600.SH", "rt_bid1_ivl","RT_Price")</f>
        <v>0</v>
      </c>
      <c r="J8" s="1" t="s">
        <v>205</v>
      </c>
      <c r="K8" s="1" t="s">
        <v>101</v>
      </c>
    </row>
    <row r="9" spans="1:11" x14ac:dyDescent="0.25">
      <c r="A9" s="1" t="s">
        <v>93</v>
      </c>
      <c r="B9" s="1" t="s">
        <v>197</v>
      </c>
      <c r="C9" s="2">
        <f>RTD("wdf.rtq", ,"10002592.SH", "rt_ask1_ivl","RT_Price")</f>
        <v>0</v>
      </c>
      <c r="D9" s="2">
        <v>8.3228975615045485E-8</v>
      </c>
      <c r="E9" s="2">
        <f>RTD("wdf.rtq", ,"10002592.SH", "rt_bid1_ivl","RT_Price")</f>
        <v>0</v>
      </c>
      <c r="F9" s="5">
        <v>3.2</v>
      </c>
      <c r="G9" s="2">
        <f>RTD("wdf.rtq", ,"10002601.SH", "rt_ask1_ivl","RT_Price")</f>
        <v>0</v>
      </c>
      <c r="H9" s="2">
        <v>-3.3135944910277081E-9</v>
      </c>
      <c r="I9" s="2">
        <f>RTD("wdf.rtq", ,"10002601.SH", "rt_bid1_ivl","RT_Price")</f>
        <v>0</v>
      </c>
      <c r="J9" s="1" t="s">
        <v>206</v>
      </c>
      <c r="K9" s="1" t="s">
        <v>102</v>
      </c>
    </row>
    <row r="10" spans="1:11" x14ac:dyDescent="0.25">
      <c r="A10" s="1" t="s">
        <v>94</v>
      </c>
      <c r="B10" s="1" t="s">
        <v>198</v>
      </c>
      <c r="C10" s="2">
        <f>RTD("wdf.rtq", ,"10002593.SH", "rt_ask1_ivl","RT_Price")</f>
        <v>0</v>
      </c>
      <c r="D10" s="2">
        <v>8.3943164657404848E-8</v>
      </c>
      <c r="E10" s="2">
        <f>RTD("wdf.rtq", ,"10002593.SH", "rt_bid1_ivl","RT_Price")</f>
        <v>0</v>
      </c>
      <c r="F10" s="5">
        <v>3.3</v>
      </c>
      <c r="G10" s="2">
        <f>RTD("wdf.rtq", ,"10002602.SH", "rt_ask1_ivl","RT_Price")</f>
        <v>0</v>
      </c>
      <c r="H10" s="2">
        <v>-7.6267192410095249E-8</v>
      </c>
      <c r="I10" s="2">
        <f>RTD("wdf.rtq", ,"10002602.SH", "rt_bid1_ivl","RT_Price")</f>
        <v>0</v>
      </c>
      <c r="J10" s="1" t="s">
        <v>207</v>
      </c>
      <c r="K10" s="1" t="s">
        <v>103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1D4B-D021-4670-8D6A-A29A89741D29}">
  <sheetPr codeName="Sheet4"/>
  <dimension ref="A1:K19"/>
  <sheetViews>
    <sheetView workbookViewId="0">
      <selection activeCell="D5" sqref="D5"/>
    </sheetView>
  </sheetViews>
  <sheetFormatPr defaultRowHeight="13.8" x14ac:dyDescent="0.25"/>
  <cols>
    <col min="3" max="5" width="19.6640625" customWidth="1"/>
    <col min="6" max="6" width="13.6640625" customWidth="1"/>
    <col min="7" max="8" width="16.44140625" customWidth="1"/>
    <col min="9" max="9" width="21.5546875" customWidth="1"/>
  </cols>
  <sheetData>
    <row r="1" spans="1:11" x14ac:dyDescent="0.25">
      <c r="A1" t="s">
        <v>208</v>
      </c>
      <c r="B1" t="s">
        <v>209</v>
      </c>
      <c r="C1" t="s">
        <v>211</v>
      </c>
      <c r="D1" t="s">
        <v>213</v>
      </c>
      <c r="E1" t="s">
        <v>210</v>
      </c>
      <c r="F1" s="6" t="s">
        <v>212</v>
      </c>
      <c r="G1" t="s">
        <v>211</v>
      </c>
      <c r="H1" t="s">
        <v>213</v>
      </c>
      <c r="I1" t="s">
        <v>210</v>
      </c>
      <c r="J1" t="s">
        <v>209</v>
      </c>
      <c r="K1" t="s">
        <v>208</v>
      </c>
    </row>
    <row r="2" spans="1:11" x14ac:dyDescent="0.25">
      <c r="A2" s="1" t="s">
        <v>34</v>
      </c>
      <c r="B2" s="1" t="s">
        <v>138</v>
      </c>
      <c r="C2" s="2">
        <f>RTD("wdf.rtq", ,"10002423.SH", "rt_ask1_ivl","RT_Price")</f>
        <v>0</v>
      </c>
      <c r="D2" s="2">
        <v>1.1872384552670506E-2</v>
      </c>
      <c r="E2" s="2">
        <f>RTD("wdf.rtq", ,"10002423.SH", "rt_bid1_ivl","RT_Price")</f>
        <v>0</v>
      </c>
      <c r="F2" s="5">
        <v>2.35</v>
      </c>
      <c r="G2" s="2">
        <f>RTD("wdf.rtq", ,"10002424.SH", "rt_ask1_ivl","RT_Price")</f>
        <v>0.28920000000000001</v>
      </c>
      <c r="H2" s="2">
        <v>0.28887971332680429</v>
      </c>
      <c r="I2" s="2">
        <f>RTD("wdf.rtq", ,"10002424.SH", "rt_bid1_ivl","RT_Price")</f>
        <v>0.2863</v>
      </c>
      <c r="J2" s="1" t="s">
        <v>139</v>
      </c>
      <c r="K2" s="1" t="s">
        <v>35</v>
      </c>
    </row>
    <row r="3" spans="1:11" x14ac:dyDescent="0.25">
      <c r="A3" s="1" t="s">
        <v>30</v>
      </c>
      <c r="B3" s="1" t="s">
        <v>134</v>
      </c>
      <c r="C3" s="2">
        <f>RTD("wdf.rtq", ,"10002405.SH", "rt_ask1_ivl","RT_Price")</f>
        <v>0</v>
      </c>
      <c r="D3" s="2">
        <v>-3.5033935730001686E-3</v>
      </c>
      <c r="E3" s="2">
        <f>RTD("wdf.rtq", ,"10002405.SH", "rt_bid1_ivl","RT_Price")</f>
        <v>0</v>
      </c>
      <c r="F3" s="5">
        <v>2.4</v>
      </c>
      <c r="G3" s="2">
        <f>RTD("wdf.rtq", ,"10002407.SH", "rt_ask1_ivl","RT_Price")</f>
        <v>0.2787</v>
      </c>
      <c r="H3" s="2">
        <v>0.27588232219300513</v>
      </c>
      <c r="I3" s="2">
        <f>RTD("wdf.rtq", ,"10002407.SH", "rt_bid1_ivl","RT_Price")</f>
        <v>0.27629999999999999</v>
      </c>
      <c r="J3" s="1" t="s">
        <v>136</v>
      </c>
      <c r="K3" s="1" t="s">
        <v>32</v>
      </c>
    </row>
    <row r="4" spans="1:11" x14ac:dyDescent="0.25">
      <c r="A4" s="1" t="s">
        <v>31</v>
      </c>
      <c r="B4" s="1" t="s">
        <v>135</v>
      </c>
      <c r="C4" s="2">
        <f>RTD("wdf.rtq", ,"10002406.SH", "rt_ask1_ivl","RT_Price")</f>
        <v>0</v>
      </c>
      <c r="D4" s="2">
        <v>-1.127791183548911E-2</v>
      </c>
      <c r="E4" s="2">
        <f>RTD("wdf.rtq", ,"10002406.SH", "rt_bid1_ivl","RT_Price")</f>
        <v>0</v>
      </c>
      <c r="F4" s="5">
        <v>2.4500000000000002</v>
      </c>
      <c r="G4" s="2">
        <f>RTD("wdf.rtq", ,"10002408.SH", "rt_ask1_ivl","RT_Price")</f>
        <v>0.26700000000000002</v>
      </c>
      <c r="H4" s="2">
        <v>0.26440326166477335</v>
      </c>
      <c r="I4" s="2">
        <f>RTD("wdf.rtq", ,"10002408.SH", "rt_bid1_ivl","RT_Price")</f>
        <v>0.26269999999999999</v>
      </c>
      <c r="J4" s="1" t="s">
        <v>137</v>
      </c>
      <c r="K4" s="1" t="s">
        <v>33</v>
      </c>
    </row>
    <row r="5" spans="1:11" x14ac:dyDescent="0.25">
      <c r="A5" s="1" t="s">
        <v>20</v>
      </c>
      <c r="B5" s="1" t="s">
        <v>124</v>
      </c>
      <c r="C5" s="2">
        <f>RTD("wdf.rtq", ,"10002299.SH", "rt_ask1_ivl","RT_Price")</f>
        <v>0</v>
      </c>
      <c r="D5" s="2">
        <v>-1.1904008264054106E-2</v>
      </c>
      <c r="E5" s="2">
        <f>RTD("wdf.rtq", ,"10002299.SH", "rt_bid1_ivl","RT_Price")</f>
        <v>0</v>
      </c>
      <c r="F5" s="5">
        <v>2.5</v>
      </c>
      <c r="G5" s="2">
        <f>RTD("wdf.rtq", ,"10002304.SH", "rt_ask1_ivl","RT_Price")</f>
        <v>0.25459999999999999</v>
      </c>
      <c r="H5" s="2">
        <v>0.25435617214507955</v>
      </c>
      <c r="I5" s="2">
        <f>RTD("wdf.rtq", ,"10002304.SH", "rt_bid1_ivl","RT_Price")</f>
        <v>0.25040000000000001</v>
      </c>
      <c r="J5" s="1" t="s">
        <v>129</v>
      </c>
      <c r="K5" s="1" t="s">
        <v>25</v>
      </c>
    </row>
    <row r="6" spans="1:11" x14ac:dyDescent="0.25">
      <c r="A6" s="1" t="s">
        <v>21</v>
      </c>
      <c r="B6" s="1" t="s">
        <v>125</v>
      </c>
      <c r="C6" s="2">
        <f>RTD("wdf.rtq", ,"10002300.SH", "rt_ask1_ivl","RT_Price")</f>
        <v>0</v>
      </c>
      <c r="D6" s="2">
        <v>-5.8019024775957453E-3</v>
      </c>
      <c r="E6" s="2">
        <f>RTD("wdf.rtq", ,"10002300.SH", "rt_bid1_ivl","RT_Price")</f>
        <v>0</v>
      </c>
      <c r="F6" s="5">
        <v>2.5499999999999998</v>
      </c>
      <c r="G6" s="2">
        <f>RTD("wdf.rtq", ,"10002305.SH", "rt_ask1_ivl","RT_Price")</f>
        <v>0.24740000000000001</v>
      </c>
      <c r="H6" s="2">
        <v>0.24566080571790749</v>
      </c>
      <c r="I6" s="2">
        <f>RTD("wdf.rtq", ,"10002305.SH", "rt_bid1_ivl","RT_Price")</f>
        <v>0.2462</v>
      </c>
      <c r="J6" s="1" t="s">
        <v>130</v>
      </c>
      <c r="K6" s="1" t="s">
        <v>26</v>
      </c>
    </row>
    <row r="7" spans="1:11" x14ac:dyDescent="0.25">
      <c r="A7" s="1" t="s">
        <v>22</v>
      </c>
      <c r="B7" s="1" t="s">
        <v>126</v>
      </c>
      <c r="C7" s="2">
        <f>RTD("wdf.rtq", ,"10002301.SH", "rt_ask1_ivl","RT_Price")</f>
        <v>0</v>
      </c>
      <c r="D7" s="2">
        <v>6.637940761818905E-3</v>
      </c>
      <c r="E7" s="2">
        <f>RTD("wdf.rtq", ,"10002301.SH", "rt_bid1_ivl","RT_Price")</f>
        <v>0</v>
      </c>
      <c r="F7" s="5">
        <v>2.6</v>
      </c>
      <c r="G7" s="2">
        <f>RTD("wdf.rtq", ,"10002306.SH", "rt_ask1_ivl","RT_Price")</f>
        <v>0.23850000000000002</v>
      </c>
      <c r="H7" s="2">
        <v>0.2382424947895096</v>
      </c>
      <c r="I7" s="2">
        <f>RTD("wdf.rtq", ,"10002306.SH", "rt_bid1_ivl","RT_Price")</f>
        <v>0.23780000000000001</v>
      </c>
      <c r="J7" s="1" t="s">
        <v>131</v>
      </c>
      <c r="K7" s="1" t="s">
        <v>27</v>
      </c>
    </row>
    <row r="8" spans="1:11" x14ac:dyDescent="0.25">
      <c r="A8" s="1" t="s">
        <v>23</v>
      </c>
      <c r="B8" s="1" t="s">
        <v>127</v>
      </c>
      <c r="C8" s="2">
        <f>RTD("wdf.rtq", ,"10002302.SH", "rt_ask1_ivl","RT_Price")</f>
        <v>0</v>
      </c>
      <c r="D8" s="2">
        <v>2.5052245652469617E-2</v>
      </c>
      <c r="E8" s="2">
        <f>RTD("wdf.rtq", ,"10002302.SH", "rt_bid1_ivl","RT_Price")</f>
        <v>0</v>
      </c>
      <c r="F8" s="5">
        <v>2.65</v>
      </c>
      <c r="G8" s="2">
        <f>RTD("wdf.rtq", ,"10002307.SH", "rt_ask1_ivl","RT_Price")</f>
        <v>0.23330000000000001</v>
      </c>
      <c r="H8" s="2">
        <v>0.23203167561649157</v>
      </c>
      <c r="I8" s="2">
        <f>RTD("wdf.rtq", ,"10002307.SH", "rt_bid1_ivl","RT_Price")</f>
        <v>0.23270000000000002</v>
      </c>
      <c r="J8" s="1" t="s">
        <v>132</v>
      </c>
      <c r="K8" s="1" t="s">
        <v>28</v>
      </c>
    </row>
    <row r="9" spans="1:11" x14ac:dyDescent="0.25">
      <c r="A9" s="1" t="s">
        <v>24</v>
      </c>
      <c r="B9" s="1" t="s">
        <v>128</v>
      </c>
      <c r="C9" s="2">
        <f>RTD("wdf.rtq", ,"10002303.SH", "rt_ask1_ivl","RT_Price")</f>
        <v>0</v>
      </c>
      <c r="D9" s="2">
        <v>4.9102621419410554E-2</v>
      </c>
      <c r="E9" s="2">
        <f>RTD("wdf.rtq", ,"10002303.SH", "rt_bid1_ivl","RT_Price")</f>
        <v>0</v>
      </c>
      <c r="F9" s="5">
        <v>2.7</v>
      </c>
      <c r="G9" s="2">
        <f>RTD("wdf.rtq", ,"10002308.SH", "rt_ask1_ivl","RT_Price")</f>
        <v>0.2283</v>
      </c>
      <c r="H9" s="2">
        <v>0.22696346016824559</v>
      </c>
      <c r="I9" s="2">
        <f>RTD("wdf.rtq", ,"10002308.SH", "rt_bid1_ivl","RT_Price")</f>
        <v>0.22550000000000001</v>
      </c>
      <c r="J9" s="1" t="s">
        <v>133</v>
      </c>
      <c r="K9" s="1" t="s">
        <v>29</v>
      </c>
    </row>
    <row r="10" spans="1:11" x14ac:dyDescent="0.25">
      <c r="A10" s="1" t="s">
        <v>18</v>
      </c>
      <c r="B10" s="1" t="s">
        <v>122</v>
      </c>
      <c r="C10" s="2">
        <f>RTD("wdf.rtq", ,"10002269.SH", "rt_ask1_ivl","RT_Price")</f>
        <v>0.11120000000000001</v>
      </c>
      <c r="D10" s="2">
        <v>7.6607051803492296E-2</v>
      </c>
      <c r="E10" s="2">
        <f>RTD("wdf.rtq", ,"10002269.SH", "rt_bid1_ivl","RT_Price")</f>
        <v>9.9000000000000005E-2</v>
      </c>
      <c r="F10" s="5">
        <v>2.75</v>
      </c>
      <c r="G10" s="2">
        <f>RTD("wdf.rtq", ,"10002270.SH", "rt_ask1_ivl","RT_Price")</f>
        <v>0.2223</v>
      </c>
      <c r="H10" s="2">
        <v>0.22297725065622992</v>
      </c>
      <c r="I10" s="2">
        <f>RTD("wdf.rtq", ,"10002270.SH", "rt_bid1_ivl","RT_Price")</f>
        <v>0.22030000000000002</v>
      </c>
      <c r="J10" s="1" t="s">
        <v>123</v>
      </c>
      <c r="K10" s="1" t="s">
        <v>19</v>
      </c>
    </row>
    <row r="11" spans="1:11" x14ac:dyDescent="0.25">
      <c r="A11" s="1" t="s">
        <v>0</v>
      </c>
      <c r="B11" s="1" t="s">
        <v>104</v>
      </c>
      <c r="C11" s="2">
        <f>RTD("wdf.rtq", ,"10002231.SH", "rt_ask1_ivl","RT_Price")</f>
        <v>0.13700000000000001</v>
      </c>
      <c r="D11" s="2">
        <v>0.10105013140699531</v>
      </c>
      <c r="E11" s="2">
        <f>RTD("wdf.rtq", ,"10002231.SH", "rt_bid1_ivl","RT_Price")</f>
        <v>0.13550000000000001</v>
      </c>
      <c r="F11" s="5">
        <v>2.8</v>
      </c>
      <c r="G11" s="2">
        <f>RTD("wdf.rtq", ,"10002240.SH", "rt_ask1_ivl","RT_Price")</f>
        <v>0.221</v>
      </c>
      <c r="H11" s="2">
        <v>0.22001639181456958</v>
      </c>
      <c r="I11" s="2">
        <f>RTD("wdf.rtq", ,"10002240.SH", "rt_bid1_ivl","RT_Price")</f>
        <v>0.21780000000000002</v>
      </c>
      <c r="J11" s="1" t="s">
        <v>113</v>
      </c>
      <c r="K11" s="1" t="s">
        <v>9</v>
      </c>
    </row>
    <row r="12" spans="1:11" x14ac:dyDescent="0.25">
      <c r="A12" s="1" t="s">
        <v>1</v>
      </c>
      <c r="B12" s="1" t="s">
        <v>105</v>
      </c>
      <c r="C12" s="2">
        <f>RTD("wdf.rtq", ,"10002232.SH", "rt_ask1_ivl","RT_Price")</f>
        <v>0.14200000000000002</v>
      </c>
      <c r="D12" s="2">
        <v>0.12206126704584983</v>
      </c>
      <c r="E12" s="2">
        <f>RTD("wdf.rtq", ,"10002232.SH", "rt_bid1_ivl","RT_Price")</f>
        <v>0.13950000000000001</v>
      </c>
      <c r="F12" s="5">
        <v>2.85</v>
      </c>
      <c r="G12" s="2">
        <f>RTD("wdf.rtq", ,"10002241.SH", "rt_ask1_ivl","RT_Price")</f>
        <v>0.222</v>
      </c>
      <c r="H12" s="2">
        <v>0.21802785665739061</v>
      </c>
      <c r="I12" s="2">
        <f>RTD("wdf.rtq", ,"10002241.SH", "rt_bid1_ivl","RT_Price")</f>
        <v>0.217</v>
      </c>
      <c r="J12" s="1" t="s">
        <v>114</v>
      </c>
      <c r="K12" s="1" t="s">
        <v>10</v>
      </c>
    </row>
    <row r="13" spans="1:11" x14ac:dyDescent="0.25">
      <c r="A13" s="1" t="s">
        <v>2</v>
      </c>
      <c r="B13" s="1" t="s">
        <v>106</v>
      </c>
      <c r="C13" s="2">
        <f>RTD("wdf.rtq", ,"10002233.SH", "rt_ask1_ivl","RT_Price")</f>
        <v>0.14960000000000001</v>
      </c>
      <c r="D13" s="2">
        <v>0.13981155199359427</v>
      </c>
      <c r="E13" s="2">
        <f>RTD("wdf.rtq", ,"10002233.SH", "rt_bid1_ivl","RT_Price")</f>
        <v>0.1489</v>
      </c>
      <c r="F13" s="5">
        <v>2.9</v>
      </c>
      <c r="G13" s="2">
        <f>RTD("wdf.rtq", ,"10002242.SH", "rt_ask1_ivl","RT_Price")</f>
        <v>0.21740000000000001</v>
      </c>
      <c r="H13" s="2">
        <v>0.21719497215633421</v>
      </c>
      <c r="I13" s="2">
        <f>RTD("wdf.rtq", ,"10002242.SH", "rt_bid1_ivl","RT_Price")</f>
        <v>0.216</v>
      </c>
      <c r="J13" s="1" t="s">
        <v>115</v>
      </c>
      <c r="K13" s="1" t="s">
        <v>11</v>
      </c>
    </row>
    <row r="14" spans="1:11" x14ac:dyDescent="0.25">
      <c r="A14" s="1" t="s">
        <v>3</v>
      </c>
      <c r="B14" s="1" t="s">
        <v>107</v>
      </c>
      <c r="C14" s="2">
        <f>RTD("wdf.rtq", ,"10002234.SH", "rt_ask1_ivl","RT_Price")</f>
        <v>0.15210000000000001</v>
      </c>
      <c r="D14" s="2">
        <v>0.15446155158829178</v>
      </c>
      <c r="E14" s="2">
        <f>RTD("wdf.rtq", ,"10002234.SH", "rt_bid1_ivl","RT_Price")</f>
        <v>0.14910000000000001</v>
      </c>
      <c r="F14" s="5">
        <v>2.95</v>
      </c>
      <c r="G14" s="2">
        <f>RTD("wdf.rtq", ,"10002243.SH", "rt_ask1_ivl","RT_Price")</f>
        <v>0.21920000000000001</v>
      </c>
      <c r="H14" s="2">
        <v>0.21816293904475828</v>
      </c>
      <c r="I14" s="2">
        <f>RTD("wdf.rtq", ,"10002243.SH", "rt_bid1_ivl","RT_Price")</f>
        <v>0.2175</v>
      </c>
      <c r="J14" s="1" t="s">
        <v>116</v>
      </c>
      <c r="K14" s="1" t="s">
        <v>12</v>
      </c>
    </row>
    <row r="15" spans="1:11" x14ac:dyDescent="0.25">
      <c r="A15" s="1" t="s">
        <v>4</v>
      </c>
      <c r="B15" s="1" t="s">
        <v>108</v>
      </c>
      <c r="C15" s="2">
        <f>RTD("wdf.rtq", ,"10002235.SH", "rt_ask1_ivl","RT_Price")</f>
        <v>0.15810000000000002</v>
      </c>
      <c r="D15" s="2">
        <v>0.16616209874011104</v>
      </c>
      <c r="E15" s="2">
        <f>RTD("wdf.rtq", ,"10002235.SH", "rt_bid1_ivl","RT_Price")</f>
        <v>0.15690000000000001</v>
      </c>
      <c r="F15" s="5">
        <v>3</v>
      </c>
      <c r="G15" s="2">
        <f>RTD("wdf.rtq", ,"10002244.SH", "rt_ask1_ivl","RT_Price")</f>
        <v>0.22650000000000001</v>
      </c>
      <c r="H15" s="2">
        <v>0.22088997725550658</v>
      </c>
      <c r="I15" s="2">
        <f>RTD("wdf.rtq", ,"10002244.SH", "rt_bid1_ivl","RT_Price")</f>
        <v>0.2167</v>
      </c>
      <c r="J15" s="1" t="s">
        <v>117</v>
      </c>
      <c r="K15" s="1" t="s">
        <v>13</v>
      </c>
    </row>
    <row r="16" spans="1:11" x14ac:dyDescent="0.25">
      <c r="A16" s="1" t="s">
        <v>5</v>
      </c>
      <c r="B16" s="1" t="s">
        <v>109</v>
      </c>
      <c r="C16" s="2">
        <f>RTD("wdf.rtq", ,"10002236.SH", "rt_ask1_ivl","RT_Price")</f>
        <v>0.1661</v>
      </c>
      <c r="D16" s="2">
        <v>0.18127378518226503</v>
      </c>
      <c r="E16" s="2">
        <f>RTD("wdf.rtq", ,"10002236.SH", "rt_bid1_ivl","RT_Price")</f>
        <v>0.1658</v>
      </c>
      <c r="F16" s="5">
        <v>3.1</v>
      </c>
      <c r="G16" s="2">
        <f>RTD("wdf.rtq", ,"10002245.SH", "rt_ask1_ivl","RT_Price")</f>
        <v>0.23290000000000002</v>
      </c>
      <c r="H16" s="2">
        <v>0.23127742696441092</v>
      </c>
      <c r="I16" s="2">
        <f>RTD("wdf.rtq", ,"10002245.SH", "rt_bid1_ivl","RT_Price")</f>
        <v>0.22700000000000001</v>
      </c>
      <c r="J16" s="1" t="s">
        <v>118</v>
      </c>
      <c r="K16" s="1" t="s">
        <v>14</v>
      </c>
    </row>
    <row r="17" spans="1:11" x14ac:dyDescent="0.25">
      <c r="A17" s="1" t="s">
        <v>6</v>
      </c>
      <c r="B17" s="1" t="s">
        <v>110</v>
      </c>
      <c r="C17" s="2">
        <f>RTD("wdf.rtq", ,"10002237.SH", "rt_ask1_ivl","RT_Price")</f>
        <v>0.16980000000000001</v>
      </c>
      <c r="D17" s="2">
        <v>0.18618458840985733</v>
      </c>
      <c r="E17" s="2">
        <f>RTD("wdf.rtq", ,"10002237.SH", "rt_bid1_ivl","RT_Price")</f>
        <v>0.1696</v>
      </c>
      <c r="F17" s="5">
        <v>3.2</v>
      </c>
      <c r="G17" s="2">
        <f>RTD("wdf.rtq", ,"10002246.SH", "rt_ask1_ivl","RT_Price")</f>
        <v>0.25390000000000001</v>
      </c>
      <c r="H17" s="2">
        <v>0.24771936682920132</v>
      </c>
      <c r="I17" s="2">
        <f>RTD("wdf.rtq", ,"10002246.SH", "rt_bid1_ivl","RT_Price")</f>
        <v>0.24300000000000002</v>
      </c>
      <c r="J17" s="1" t="s">
        <v>119</v>
      </c>
      <c r="K17" s="1" t="s">
        <v>15</v>
      </c>
    </row>
    <row r="18" spans="1:11" x14ac:dyDescent="0.25">
      <c r="A18" s="1" t="s">
        <v>7</v>
      </c>
      <c r="B18" s="1" t="s">
        <v>111</v>
      </c>
      <c r="C18" s="2">
        <f>RTD("wdf.rtq", ,"10002238.SH", "rt_ask1_ivl","RT_Price")</f>
        <v>0.17800000000000002</v>
      </c>
      <c r="D18" s="2">
        <v>0.18181698777201022</v>
      </c>
      <c r="E18" s="2">
        <f>RTD("wdf.rtq", ,"10002238.SH", "rt_bid1_ivl","RT_Price")</f>
        <v>0.1757</v>
      </c>
      <c r="F18" s="5">
        <v>3.3</v>
      </c>
      <c r="G18" s="2">
        <f>RTD("wdf.rtq", ,"10002247.SH", "rt_ask1_ivl","RT_Price")</f>
        <v>0.27529999999999999</v>
      </c>
      <c r="H18" s="2">
        <v>0.26964965693221499</v>
      </c>
      <c r="I18" s="2">
        <f>RTD("wdf.rtq", ,"10002247.SH", "rt_bid1_ivl","RT_Price")</f>
        <v>0.26440000000000002</v>
      </c>
      <c r="J18" s="1" t="s">
        <v>120</v>
      </c>
      <c r="K18" s="1" t="s">
        <v>16</v>
      </c>
    </row>
    <row r="19" spans="1:11" x14ac:dyDescent="0.25">
      <c r="A19" s="1" t="s">
        <v>8</v>
      </c>
      <c r="B19" s="1" t="s">
        <v>112</v>
      </c>
      <c r="C19" s="2">
        <f>RTD("wdf.rtq", ,"10002239.SH", "rt_ask1_ivl","RT_Price")</f>
        <v>0.1875</v>
      </c>
      <c r="D19" s="2">
        <v>0.16899349574749012</v>
      </c>
      <c r="E19" s="2">
        <f>RTD("wdf.rtq", ,"10002239.SH", "rt_bid1_ivl","RT_Price")</f>
        <v>0.18580000000000002</v>
      </c>
      <c r="F19" s="5">
        <v>3.4</v>
      </c>
      <c r="G19" s="2">
        <f>RTD("wdf.rtq", ,"10002248.SH", "rt_ask1_ivl","RT_Price")</f>
        <v>0.30130000000000001</v>
      </c>
      <c r="H19" s="2">
        <v>0.29656425440571033</v>
      </c>
      <c r="I19" s="2">
        <f>RTD("wdf.rtq", ,"10002248.SH", "rt_bid1_ivl","RT_Price")</f>
        <v>0.29139999999999999</v>
      </c>
      <c r="J19" s="1" t="s">
        <v>121</v>
      </c>
      <c r="K19" s="1" t="s">
        <v>17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F861-4B19-4F4C-85F1-227D29AE4443}">
  <sheetPr codeName="Sheet1"/>
  <dimension ref="A1:DD168"/>
  <sheetViews>
    <sheetView workbookViewId="0">
      <selection activeCell="D5" sqref="D5"/>
    </sheetView>
  </sheetViews>
  <sheetFormatPr defaultRowHeight="13.8" x14ac:dyDescent="0.25"/>
  <cols>
    <col min="2" max="2" width="27" customWidth="1"/>
    <col min="3" max="3" width="12.109375" customWidth="1"/>
    <col min="4" max="4" width="18.88671875" customWidth="1"/>
    <col min="5" max="5" width="16" customWidth="1"/>
    <col min="6" max="6" width="15.88671875" customWidth="1"/>
    <col min="7" max="7" width="20.44140625" customWidth="1"/>
    <col min="8" max="8" width="19.77734375" customWidth="1"/>
    <col min="9" max="9" width="19.44140625" customWidth="1"/>
  </cols>
  <sheetData>
    <row r="1" spans="1:108" x14ac:dyDescent="0.25">
      <c r="A1" s="1" t="s">
        <v>208</v>
      </c>
      <c r="B1" s="1" t="s">
        <v>209</v>
      </c>
      <c r="C1" s="1" t="s">
        <v>211</v>
      </c>
      <c r="D1" s="1" t="s">
        <v>213</v>
      </c>
      <c r="E1" s="1" t="s">
        <v>210</v>
      </c>
      <c r="F1" s="4" t="s">
        <v>212</v>
      </c>
      <c r="G1" s="1" t="s">
        <v>211</v>
      </c>
      <c r="H1" s="1" t="s">
        <v>213</v>
      </c>
      <c r="I1" s="1" t="s">
        <v>210</v>
      </c>
      <c r="J1" s="1" t="s">
        <v>209</v>
      </c>
      <c r="K1" s="1" t="s">
        <v>208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</row>
    <row r="2" spans="1:108" x14ac:dyDescent="0.25">
      <c r="A2" s="1" t="s">
        <v>54</v>
      </c>
      <c r="B2" s="1" t="s">
        <v>158</v>
      </c>
      <c r="C2" s="2">
        <f>RTD("wdf.rtq", ,"10002513.SH", "rt_ask1_ivl","RT_Price")</f>
        <v>0</v>
      </c>
      <c r="D2" s="2">
        <v>-2.7551461841610392E-2</v>
      </c>
      <c r="E2" s="2">
        <f>RTD("wdf.rtq", ,"10002513.SH", "rt_bid1_ivl","RT_Price")</f>
        <v>0</v>
      </c>
      <c r="F2" s="3">
        <v>2.5499999999999998</v>
      </c>
      <c r="G2" s="2">
        <f>RTD("wdf.rtq", ,"10002514.SH", "rt_ask1_ivl","RT_Price")</f>
        <v>0.23980000000000001</v>
      </c>
      <c r="H2" s="2">
        <v>0.23925575505742952</v>
      </c>
      <c r="I2" s="2">
        <f>RTD("wdf.rtq", ,"10002514.SH", "rt_bid1_ivl","RT_Price")</f>
        <v>0.23870000000000002</v>
      </c>
      <c r="J2" s="1" t="s">
        <v>159</v>
      </c>
      <c r="K2" s="1" t="s">
        <v>55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</row>
    <row r="3" spans="1:108" x14ac:dyDescent="0.25">
      <c r="A3" s="1" t="s">
        <v>36</v>
      </c>
      <c r="B3" s="1" t="s">
        <v>140</v>
      </c>
      <c r="C3" s="2">
        <f>RTD("wdf.rtq", ,"10002477.SH", "rt_ask1_ivl","RT_Price")</f>
        <v>0</v>
      </c>
      <c r="D3" s="2">
        <v>8.00522823344757E-3</v>
      </c>
      <c r="E3" s="2">
        <f>RTD("wdf.rtq", ,"10002477.SH", "rt_bid1_ivl","RT_Price")</f>
        <v>0</v>
      </c>
      <c r="F3" s="3">
        <v>2.6</v>
      </c>
      <c r="G3" s="2">
        <f>RTD("wdf.rtq", ,"10002486.SH", "rt_ask1_ivl","RT_Price")</f>
        <v>0.2412</v>
      </c>
      <c r="H3" s="2">
        <v>0.23917734783031241</v>
      </c>
      <c r="I3" s="2">
        <f>RTD("wdf.rtq", ,"10002486.SH", "rt_bid1_ivl","RT_Price")</f>
        <v>0.23720000000000002</v>
      </c>
      <c r="J3" s="1" t="s">
        <v>149</v>
      </c>
      <c r="K3" s="1" t="s">
        <v>45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</row>
    <row r="4" spans="1:108" x14ac:dyDescent="0.25">
      <c r="A4" s="1" t="s">
        <v>37</v>
      </c>
      <c r="B4" s="1" t="s">
        <v>141</v>
      </c>
      <c r="C4" s="2">
        <f>RTD("wdf.rtq", ,"10002478.SH", "rt_ask1_ivl","RT_Price")</f>
        <v>0</v>
      </c>
      <c r="D4" s="2">
        <v>3.9201949295355434E-2</v>
      </c>
      <c r="E4" s="2">
        <f>RTD("wdf.rtq", ,"10002478.SH", "rt_bid1_ivl","RT_Price")</f>
        <v>0</v>
      </c>
      <c r="F4" s="3">
        <v>2.65</v>
      </c>
      <c r="G4" s="2">
        <f>RTD("wdf.rtq", ,"10002487.SH", "rt_ask1_ivl","RT_Price")</f>
        <v>0.23820000000000002</v>
      </c>
      <c r="H4" s="2">
        <v>0.23678078330081298</v>
      </c>
      <c r="I4" s="2">
        <f>RTD("wdf.rtq", ,"10002487.SH", "rt_bid1_ivl","RT_Price")</f>
        <v>0.23500000000000001</v>
      </c>
      <c r="J4" s="1" t="s">
        <v>150</v>
      </c>
      <c r="K4" s="1" t="s">
        <v>46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</row>
    <row r="5" spans="1:108" x14ac:dyDescent="0.25">
      <c r="A5" s="1" t="s">
        <v>38</v>
      </c>
      <c r="B5" s="1" t="s">
        <v>142</v>
      </c>
      <c r="C5" s="2">
        <f>RTD("wdf.rtq", ,"10002479.SH", "rt_ask1_ivl","RT_Price")</f>
        <v>9.3800000000000008E-2</v>
      </c>
      <c r="D5" s="2">
        <v>6.626990278773065E-2</v>
      </c>
      <c r="E5" s="2">
        <f>RTD("wdf.rtq", ,"10002479.SH", "rt_bid1_ivl","RT_Price")</f>
        <v>0</v>
      </c>
      <c r="F5" s="3">
        <v>2.7</v>
      </c>
      <c r="G5" s="2">
        <f>RTD("wdf.rtq", ,"10002488.SH", "rt_ask1_ivl","RT_Price")</f>
        <v>0.2359</v>
      </c>
      <c r="H5" s="2">
        <v>0.23360164446528206</v>
      </c>
      <c r="I5" s="2">
        <f>RTD("wdf.rtq", ,"10002488.SH", "rt_bid1_ivl","RT_Price")</f>
        <v>0.23370000000000002</v>
      </c>
      <c r="J5" s="1" t="s">
        <v>151</v>
      </c>
      <c r="K5" s="1" t="s">
        <v>47</v>
      </c>
    </row>
    <row r="6" spans="1:108" x14ac:dyDescent="0.25">
      <c r="A6" s="1" t="s">
        <v>39</v>
      </c>
      <c r="B6" s="1" t="s">
        <v>143</v>
      </c>
      <c r="C6" s="2">
        <f>RTD("wdf.rtq", ,"10002480.SH", "rt_ask1_ivl","RT_Price")</f>
        <v>0.11700000000000001</v>
      </c>
      <c r="D6" s="2">
        <v>8.9425081944518009E-2</v>
      </c>
      <c r="E6" s="2">
        <f>RTD("wdf.rtq", ,"10002480.SH", "rt_bid1_ivl","RT_Price")</f>
        <v>0.10390000000000001</v>
      </c>
      <c r="F6" s="3">
        <v>2.75</v>
      </c>
      <c r="G6" s="2">
        <f>RTD("wdf.rtq", ,"10002489.SH", "rt_ask1_ivl","RT_Price")</f>
        <v>0.23170000000000002</v>
      </c>
      <c r="H6" s="2">
        <v>0.23147455344256357</v>
      </c>
      <c r="I6" s="2">
        <f>RTD("wdf.rtq", ,"10002489.SH", "rt_bid1_ivl","RT_Price")</f>
        <v>0.23040000000000002</v>
      </c>
      <c r="J6" s="1" t="s">
        <v>152</v>
      </c>
      <c r="K6" s="1" t="s">
        <v>48</v>
      </c>
    </row>
    <row r="7" spans="1:108" x14ac:dyDescent="0.25">
      <c r="A7" s="1" t="s">
        <v>40</v>
      </c>
      <c r="B7" s="1" t="s">
        <v>144</v>
      </c>
      <c r="C7" s="2">
        <f>RTD("wdf.rtq", ,"10002481.SH", "rt_ask1_ivl","RT_Price")</f>
        <v>0.13090000000000002</v>
      </c>
      <c r="D7" s="2">
        <v>0.10886950090654475</v>
      </c>
      <c r="E7" s="2">
        <f>RTD("wdf.rtq", ,"10002481.SH", "rt_bid1_ivl","RT_Price")</f>
        <v>0.1193</v>
      </c>
      <c r="F7" s="3">
        <v>2.8</v>
      </c>
      <c r="G7" s="2">
        <f>RTD("wdf.rtq", ,"10002490.SH", "rt_ask1_ivl","RT_Price")</f>
        <v>0.23020000000000002</v>
      </c>
      <c r="H7" s="2">
        <v>0.23035107693437559</v>
      </c>
      <c r="I7" s="2">
        <f>RTD("wdf.rtq", ,"10002490.SH", "rt_bid1_ivl","RT_Price")</f>
        <v>0.22970000000000002</v>
      </c>
      <c r="J7" s="1" t="s">
        <v>153</v>
      </c>
      <c r="K7" s="1" t="s">
        <v>49</v>
      </c>
    </row>
    <row r="8" spans="1:108" x14ac:dyDescent="0.25">
      <c r="A8" s="1" t="s">
        <v>41</v>
      </c>
      <c r="B8" s="1" t="s">
        <v>145</v>
      </c>
      <c r="C8" s="2">
        <f>RTD("wdf.rtq", ,"10002482.SH", "rt_ask1_ivl","RT_Price")</f>
        <v>0.1358</v>
      </c>
      <c r="D8" s="2">
        <v>0.12479230572269244</v>
      </c>
      <c r="E8" s="2">
        <f>RTD("wdf.rtq", ,"10002482.SH", "rt_bid1_ivl","RT_Price")</f>
        <v>0.12870000000000001</v>
      </c>
      <c r="F8" s="3">
        <v>2.85</v>
      </c>
      <c r="G8" s="2">
        <f>RTD("wdf.rtq", ,"10002491.SH", "rt_ask1_ivl","RT_Price")</f>
        <v>0.2286</v>
      </c>
      <c r="H8" s="2">
        <v>0.23017875106370064</v>
      </c>
      <c r="I8" s="2">
        <f>RTD("wdf.rtq", ,"10002491.SH", "rt_bid1_ivl","RT_Price")</f>
        <v>0.22800000000000001</v>
      </c>
      <c r="J8" s="1" t="s">
        <v>154</v>
      </c>
      <c r="K8" s="1" t="s">
        <v>50</v>
      </c>
    </row>
    <row r="9" spans="1:108" x14ac:dyDescent="0.25">
      <c r="A9" s="1" t="s">
        <v>42</v>
      </c>
      <c r="B9" s="1" t="s">
        <v>146</v>
      </c>
      <c r="C9" s="2">
        <f>RTD("wdf.rtq", ,"10002483.SH", "rt_ask1_ivl","RT_Price")</f>
        <v>0.14080000000000001</v>
      </c>
      <c r="D9" s="2">
        <v>0.13737078036722677</v>
      </c>
      <c r="E9" s="2">
        <f>RTD("wdf.rtq", ,"10002483.SH", "rt_bid1_ivl","RT_Price")</f>
        <v>0.13970000000000002</v>
      </c>
      <c r="F9" s="3">
        <v>2.9</v>
      </c>
      <c r="G9" s="2">
        <f>RTD("wdf.rtq", ,"10002492.SH", "rt_ask1_ivl","RT_Price")</f>
        <v>0.2316</v>
      </c>
      <c r="H9" s="2">
        <v>0.23090843347498849</v>
      </c>
      <c r="I9" s="2">
        <f>RTD("wdf.rtq", ,"10002492.SH", "rt_bid1_ivl","RT_Price")</f>
        <v>0.23080000000000001</v>
      </c>
      <c r="J9" s="1" t="s">
        <v>155</v>
      </c>
      <c r="K9" s="1" t="s">
        <v>51</v>
      </c>
    </row>
    <row r="10" spans="1:108" x14ac:dyDescent="0.25">
      <c r="A10" s="1" t="s">
        <v>43</v>
      </c>
      <c r="B10" s="1" t="s">
        <v>147</v>
      </c>
      <c r="C10" s="2">
        <f>RTD("wdf.rtq", ,"10002484.SH", "rt_ask1_ivl","RT_Price")</f>
        <v>0.1477</v>
      </c>
      <c r="D10" s="2">
        <v>0.14677125925139639</v>
      </c>
      <c r="E10" s="2">
        <f>RTD("wdf.rtq", ,"10002484.SH", "rt_bid1_ivl","RT_Price")</f>
        <v>0.14500000000000002</v>
      </c>
      <c r="F10" s="3">
        <v>2.95</v>
      </c>
      <c r="G10" s="2">
        <f>RTD("wdf.rtq", ,"10002493.SH", "rt_ask1_ivl","RT_Price")</f>
        <v>0.23650000000000002</v>
      </c>
      <c r="H10" s="2">
        <v>0.23249404649533287</v>
      </c>
      <c r="I10" s="2">
        <f>RTD("wdf.rtq", ,"10002493.SH", "rt_bid1_ivl","RT_Price")</f>
        <v>0.23300000000000001</v>
      </c>
      <c r="J10" s="1" t="s">
        <v>156</v>
      </c>
      <c r="K10" s="1" t="s">
        <v>52</v>
      </c>
    </row>
    <row r="11" spans="1:108" x14ac:dyDescent="0.25">
      <c r="A11" s="1" t="s">
        <v>44</v>
      </c>
      <c r="B11" s="1" t="s">
        <v>148</v>
      </c>
      <c r="C11" s="2">
        <f>RTD("wdf.rtq", ,"10002485.SH", "rt_ask1_ivl","RT_Price")</f>
        <v>0.15130000000000002</v>
      </c>
      <c r="D11" s="2">
        <v>0.15314995628589781</v>
      </c>
      <c r="E11" s="2">
        <f>RTD("wdf.rtq", ,"10002485.SH", "rt_bid1_ivl","RT_Price")</f>
        <v>0.1482</v>
      </c>
      <c r="F11" s="3">
        <v>3</v>
      </c>
      <c r="G11" s="2">
        <f>RTD("wdf.rtq", ,"10002494.SH", "rt_ask1_ivl","RT_Price")</f>
        <v>0.2354</v>
      </c>
      <c r="H11" s="2">
        <v>0.23489234386206564</v>
      </c>
      <c r="I11" s="2">
        <f>RTD("wdf.rtq", ,"10002494.SH", "rt_bid1_ivl","RT_Price")</f>
        <v>0.2326</v>
      </c>
      <c r="J11" s="1" t="s">
        <v>157</v>
      </c>
      <c r="K11" s="1" t="s">
        <v>53</v>
      </c>
    </row>
    <row r="12" spans="1:108" x14ac:dyDescent="0.25">
      <c r="A12" s="1" t="s">
        <v>56</v>
      </c>
      <c r="B12" s="1" t="s">
        <v>160</v>
      </c>
      <c r="C12" s="2">
        <f>RTD("wdf.rtq", ,"10002517.SH", "rt_ask1_ivl","RT_Price")</f>
        <v>0.153</v>
      </c>
      <c r="D12" s="2">
        <v>0.15743165046053878</v>
      </c>
      <c r="E12" s="2">
        <f>RTD("wdf.rtq", ,"10002517.SH", "rt_bid1_ivl","RT_Price")</f>
        <v>0.15180000000000002</v>
      </c>
      <c r="F12" s="3">
        <v>3.1</v>
      </c>
      <c r="G12" s="2">
        <f>RTD("wdf.rtq", ,"10002518.SH", "rt_ask1_ivl","RT_Price")</f>
        <v>0.24340000000000001</v>
      </c>
      <c r="H12" s="2">
        <v>0.24196690926684702</v>
      </c>
      <c r="I12" s="2">
        <f>RTD("wdf.rtq", ,"10002518.SH", "rt_bid1_ivl","RT_Price")</f>
        <v>0.24000000000000002</v>
      </c>
      <c r="J12" s="1" t="s">
        <v>161</v>
      </c>
      <c r="K12" s="1" t="s">
        <v>57</v>
      </c>
    </row>
    <row r="13" spans="1:108" x14ac:dyDescent="0.25">
      <c r="A13" s="1" t="s">
        <v>80</v>
      </c>
      <c r="B13" s="1" t="s">
        <v>184</v>
      </c>
      <c r="C13" s="2">
        <f>RTD("wdf.rtq", ,"10002571.SH", "rt_ask1_ivl","RT_Price")</f>
        <v>0.1603</v>
      </c>
      <c r="D13" s="2">
        <v>0.15871391135483043</v>
      </c>
      <c r="E13" s="2">
        <f>RTD("wdf.rtq", ,"10002571.SH", "rt_bid1_ivl","RT_Price")</f>
        <v>0.15790000000000001</v>
      </c>
      <c r="F13" s="3">
        <v>3.2</v>
      </c>
      <c r="G13" s="2">
        <f>RTD("wdf.rtq", ,"10002572.SH", "rt_ask1_ivl","RT_Price")</f>
        <v>0.25340000000000001</v>
      </c>
      <c r="H13" s="2">
        <v>0.25183518035256691</v>
      </c>
      <c r="I13" s="2">
        <f>RTD("wdf.rtq", ,"10002572.SH", "rt_bid1_ivl","RT_Price")</f>
        <v>0.25190000000000001</v>
      </c>
      <c r="J13" s="1" t="s">
        <v>185</v>
      </c>
      <c r="K13" s="1" t="s">
        <v>81</v>
      </c>
    </row>
    <row r="14" spans="1:108" x14ac:dyDescent="0.25">
      <c r="A14" s="1" t="s">
        <v>84</v>
      </c>
      <c r="B14" s="1" t="s">
        <v>188</v>
      </c>
      <c r="C14" s="2">
        <f>RTD("wdf.rtq", ,"10002579.SH", "rt_ask1_ivl","RT_Price")</f>
        <v>0.16420000000000001</v>
      </c>
      <c r="D14" s="2">
        <v>0.163449935257023</v>
      </c>
      <c r="E14" s="2">
        <f>RTD("wdf.rtq", ,"10002579.SH", "rt_bid1_ivl","RT_Price")</f>
        <v>0.16250000000000001</v>
      </c>
      <c r="F14" s="3">
        <v>3.3</v>
      </c>
      <c r="G14" s="2">
        <f>RTD("wdf.rtq", ,"10002580.SH", "rt_ask1_ivl","RT_Price")</f>
        <v>0.26550000000000001</v>
      </c>
      <c r="H14" s="2">
        <v>0.26423372962758063</v>
      </c>
      <c r="I14" s="2">
        <f>RTD("wdf.rtq", ,"10002580.SH", "rt_bid1_ivl","RT_Price")</f>
        <v>0.26190000000000002</v>
      </c>
      <c r="J14" s="1" t="s">
        <v>189</v>
      </c>
      <c r="K14" s="1" t="s">
        <v>85</v>
      </c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  <row r="42" spans="6:6" x14ac:dyDescent="0.25">
      <c r="F42" s="2"/>
    </row>
    <row r="43" spans="6:6" x14ac:dyDescent="0.25">
      <c r="F43" s="2"/>
    </row>
    <row r="44" spans="6:6" x14ac:dyDescent="0.25">
      <c r="F44" s="2"/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  <row r="50" spans="6:6" x14ac:dyDescent="0.25">
      <c r="F50" s="2"/>
    </row>
    <row r="51" spans="6:6" x14ac:dyDescent="0.25">
      <c r="F51" s="2"/>
    </row>
    <row r="52" spans="6:6" x14ac:dyDescent="0.25">
      <c r="F52" s="2"/>
    </row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  <row r="58" spans="6:6" x14ac:dyDescent="0.25">
      <c r="F58" s="2"/>
    </row>
    <row r="59" spans="6:6" x14ac:dyDescent="0.25">
      <c r="F59" s="2"/>
    </row>
    <row r="60" spans="6:6" x14ac:dyDescent="0.25">
      <c r="F60" s="2"/>
    </row>
    <row r="61" spans="6:6" x14ac:dyDescent="0.25">
      <c r="F61" s="2"/>
    </row>
    <row r="62" spans="6:6" x14ac:dyDescent="0.25">
      <c r="F62" s="2"/>
    </row>
    <row r="63" spans="6:6" x14ac:dyDescent="0.25">
      <c r="F63" s="2"/>
    </row>
    <row r="64" spans="6:6" x14ac:dyDescent="0.25">
      <c r="F64" s="2"/>
    </row>
    <row r="65" spans="1:6" x14ac:dyDescent="0.25">
      <c r="F65" s="2"/>
    </row>
    <row r="66" spans="1:6" x14ac:dyDescent="0.25">
      <c r="F66" s="2"/>
    </row>
    <row r="67" spans="1:6" x14ac:dyDescent="0.25">
      <c r="A67" s="1"/>
      <c r="B67" s="1"/>
      <c r="C67" s="2"/>
      <c r="D67" s="2"/>
      <c r="E67" s="2"/>
      <c r="F67" s="2"/>
    </row>
    <row r="68" spans="1:6" x14ac:dyDescent="0.25">
      <c r="A68" s="1"/>
      <c r="B68" s="1"/>
      <c r="C68" s="2"/>
      <c r="D68" s="2"/>
      <c r="E68" s="2"/>
      <c r="F68" s="2"/>
    </row>
    <row r="69" spans="1:6" x14ac:dyDescent="0.25">
      <c r="A69" s="1"/>
      <c r="B69" s="1"/>
      <c r="C69" s="2"/>
      <c r="D69" s="2"/>
      <c r="E69" s="2"/>
      <c r="F69" s="2"/>
    </row>
    <row r="70" spans="1:6" x14ac:dyDescent="0.25">
      <c r="A70" s="1"/>
      <c r="B70" s="1"/>
      <c r="C70" s="2"/>
      <c r="D70" s="2"/>
      <c r="E70" s="2"/>
      <c r="F70" s="2"/>
    </row>
    <row r="71" spans="1:6" x14ac:dyDescent="0.25">
      <c r="A71" s="1"/>
      <c r="B71" s="1"/>
      <c r="C71" s="2"/>
      <c r="D71" s="2"/>
      <c r="E71" s="2"/>
      <c r="F71" s="2"/>
    </row>
    <row r="72" spans="1:6" x14ac:dyDescent="0.25">
      <c r="A72" s="1"/>
      <c r="B72" s="1"/>
      <c r="C72" s="2"/>
      <c r="D72" s="2"/>
      <c r="E72" s="2"/>
      <c r="F72" s="2"/>
    </row>
    <row r="73" spans="1:6" x14ac:dyDescent="0.25">
      <c r="A73" s="1"/>
      <c r="B73" s="1"/>
      <c r="C73" s="2"/>
      <c r="D73" s="2"/>
      <c r="E73" s="2"/>
      <c r="F73" s="2"/>
    </row>
    <row r="74" spans="1:6" x14ac:dyDescent="0.25">
      <c r="A74" s="1"/>
      <c r="B74" s="1"/>
      <c r="C74" s="2"/>
      <c r="D74" s="2"/>
      <c r="E74" s="2"/>
      <c r="F74" s="2"/>
    </row>
    <row r="75" spans="1:6" x14ac:dyDescent="0.25">
      <c r="A75" s="1"/>
      <c r="B75" s="1"/>
      <c r="C75" s="2"/>
      <c r="D75" s="2"/>
      <c r="E75" s="2"/>
      <c r="F75" s="2"/>
    </row>
    <row r="76" spans="1:6" x14ac:dyDescent="0.25">
      <c r="A76" s="1"/>
      <c r="B76" s="1"/>
      <c r="C76" s="2"/>
      <c r="D76" s="2"/>
      <c r="E76" s="2"/>
      <c r="F76" s="2"/>
    </row>
    <row r="77" spans="1:6" x14ac:dyDescent="0.25">
      <c r="A77" s="1"/>
      <c r="B77" s="1"/>
      <c r="C77" s="2"/>
      <c r="D77" s="2"/>
      <c r="E77" s="2"/>
      <c r="F77" s="2"/>
    </row>
    <row r="78" spans="1:6" x14ac:dyDescent="0.25">
      <c r="A78" s="1"/>
      <c r="B78" s="1"/>
      <c r="C78" s="2"/>
      <c r="D78" s="2"/>
      <c r="E78" s="2"/>
      <c r="F78" s="2"/>
    </row>
    <row r="79" spans="1:6" x14ac:dyDescent="0.25">
      <c r="A79" s="1"/>
      <c r="B79" s="1"/>
      <c r="C79" s="2"/>
      <c r="D79" s="2"/>
      <c r="E79" s="2"/>
      <c r="F79" s="2"/>
    </row>
    <row r="80" spans="1:6" x14ac:dyDescent="0.25">
      <c r="A80" s="1"/>
      <c r="B80" s="1"/>
      <c r="C80" s="2"/>
      <c r="D80" s="2"/>
      <c r="E80" s="2"/>
      <c r="F80" s="2"/>
    </row>
    <row r="81" spans="1:6" x14ac:dyDescent="0.25">
      <c r="A81" s="1"/>
      <c r="B81" s="1"/>
      <c r="C81" s="2"/>
      <c r="D81" s="2"/>
      <c r="E81" s="2"/>
      <c r="F81" s="2"/>
    </row>
    <row r="82" spans="1:6" x14ac:dyDescent="0.25">
      <c r="A82" s="1"/>
      <c r="B82" s="1"/>
      <c r="C82" s="2"/>
      <c r="D82" s="2"/>
      <c r="E82" s="2"/>
      <c r="F82" s="2"/>
    </row>
    <row r="83" spans="1:6" x14ac:dyDescent="0.25">
      <c r="A83" s="1"/>
      <c r="B83" s="1"/>
      <c r="C83" s="2"/>
      <c r="D83" s="2"/>
      <c r="E83" s="2"/>
      <c r="F83" s="2"/>
    </row>
    <row r="84" spans="1:6" x14ac:dyDescent="0.25">
      <c r="A84" s="1"/>
      <c r="B84" s="1"/>
      <c r="C84" s="2"/>
      <c r="D84" s="2"/>
      <c r="E84" s="2"/>
      <c r="F84" s="2"/>
    </row>
    <row r="85" spans="1:6" x14ac:dyDescent="0.25">
      <c r="A85" s="1"/>
      <c r="B85" s="1"/>
      <c r="C85" s="2"/>
      <c r="D85" s="2"/>
      <c r="E85" s="2"/>
      <c r="F85" s="2"/>
    </row>
    <row r="86" spans="1:6" x14ac:dyDescent="0.25">
      <c r="A86" s="1"/>
      <c r="B86" s="1"/>
      <c r="C86" s="2"/>
      <c r="D86" s="2"/>
      <c r="E86" s="2"/>
      <c r="F86" s="2"/>
    </row>
    <row r="87" spans="1:6" x14ac:dyDescent="0.25">
      <c r="A87" s="1"/>
      <c r="B87" s="1"/>
      <c r="C87" s="2"/>
      <c r="D87" s="2"/>
      <c r="E87" s="2"/>
      <c r="F87" s="2"/>
    </row>
    <row r="88" spans="1:6" x14ac:dyDescent="0.25">
      <c r="A88" s="1"/>
      <c r="B88" s="1"/>
      <c r="C88" s="2"/>
      <c r="D88" s="2"/>
      <c r="E88" s="2"/>
      <c r="F88" s="2"/>
    </row>
    <row r="89" spans="1:6" x14ac:dyDescent="0.25">
      <c r="A89" s="1"/>
      <c r="B89" s="1"/>
      <c r="C89" s="2"/>
      <c r="D89" s="2"/>
      <c r="E89" s="2"/>
      <c r="F89" s="2"/>
    </row>
    <row r="90" spans="1:6" x14ac:dyDescent="0.25">
      <c r="A90" s="1"/>
      <c r="B90" s="1"/>
      <c r="C90" s="2"/>
      <c r="D90" s="2"/>
      <c r="E90" s="2"/>
      <c r="F90" s="2"/>
    </row>
    <row r="91" spans="1:6" x14ac:dyDescent="0.25">
      <c r="A91" s="1"/>
      <c r="B91" s="1"/>
      <c r="C91" s="2"/>
      <c r="D91" s="2"/>
      <c r="E91" s="2"/>
      <c r="F91" s="2"/>
    </row>
    <row r="92" spans="1:6" x14ac:dyDescent="0.25">
      <c r="A92" s="1"/>
      <c r="B92" s="1"/>
      <c r="C92" s="2"/>
      <c r="D92" s="2"/>
      <c r="E92" s="2"/>
      <c r="F92" s="2"/>
    </row>
    <row r="93" spans="1:6" x14ac:dyDescent="0.25">
      <c r="A93" s="1"/>
      <c r="B93" s="1"/>
      <c r="C93" s="2"/>
      <c r="D93" s="2"/>
      <c r="E93" s="2"/>
      <c r="F93" s="2"/>
    </row>
    <row r="94" spans="1:6" x14ac:dyDescent="0.25">
      <c r="A94" s="1"/>
      <c r="B94" s="1"/>
      <c r="C94" s="2"/>
      <c r="D94" s="2"/>
      <c r="E94" s="2"/>
      <c r="F94" s="2"/>
    </row>
    <row r="95" spans="1:6" x14ac:dyDescent="0.25">
      <c r="A95" s="1"/>
      <c r="B95" s="1"/>
      <c r="C95" s="2"/>
      <c r="D95" s="2"/>
      <c r="E95" s="2"/>
      <c r="F95" s="2"/>
    </row>
    <row r="96" spans="1:6" x14ac:dyDescent="0.25">
      <c r="A96" s="1"/>
      <c r="B96" s="1"/>
      <c r="C96" s="2"/>
      <c r="D96" s="2"/>
      <c r="E96" s="2"/>
      <c r="F96" s="2"/>
    </row>
    <row r="97" spans="1:6" x14ac:dyDescent="0.25">
      <c r="A97" s="1"/>
      <c r="B97" s="1"/>
      <c r="C97" s="2"/>
      <c r="D97" s="2"/>
      <c r="E97" s="2"/>
      <c r="F97" s="2"/>
    </row>
    <row r="98" spans="1:6" x14ac:dyDescent="0.25">
      <c r="A98" s="1"/>
      <c r="B98" s="1"/>
      <c r="C98" s="2"/>
      <c r="D98" s="2"/>
      <c r="E98" s="2"/>
      <c r="F98" s="2"/>
    </row>
    <row r="99" spans="1:6" x14ac:dyDescent="0.25">
      <c r="A99" s="1"/>
      <c r="B99" s="1"/>
      <c r="C99" s="2"/>
      <c r="D99" s="2"/>
      <c r="E99" s="2"/>
      <c r="F99" s="2"/>
    </row>
    <row r="100" spans="1:6" x14ac:dyDescent="0.25">
      <c r="A100" s="1"/>
      <c r="B100" s="1"/>
      <c r="C100" s="2"/>
      <c r="D100" s="2"/>
      <c r="E100" s="2"/>
      <c r="F100" s="2"/>
    </row>
    <row r="101" spans="1:6" x14ac:dyDescent="0.25">
      <c r="A101" s="1"/>
      <c r="B101" s="1"/>
      <c r="C101" s="2"/>
      <c r="D101" s="2"/>
      <c r="E101" s="2"/>
      <c r="F101" s="2"/>
    </row>
    <row r="102" spans="1:6" x14ac:dyDescent="0.25">
      <c r="A102" s="1"/>
      <c r="B102" s="1"/>
      <c r="C102" s="2"/>
      <c r="D102" s="2"/>
      <c r="E102" s="2"/>
      <c r="F102" s="2"/>
    </row>
    <row r="103" spans="1:6" x14ac:dyDescent="0.25">
      <c r="A103" s="1"/>
      <c r="B103" s="1"/>
      <c r="C103" s="2"/>
      <c r="D103" s="2"/>
      <c r="E103" s="2"/>
      <c r="F103" s="2"/>
    </row>
    <row r="104" spans="1:6" x14ac:dyDescent="0.25">
      <c r="A104" s="1"/>
      <c r="B104" s="1"/>
      <c r="C104" s="2"/>
      <c r="D104" s="2"/>
      <c r="E104" s="2"/>
      <c r="F104" s="2"/>
    </row>
    <row r="105" spans="1:6" x14ac:dyDescent="0.25">
      <c r="A105" s="1"/>
      <c r="B105" s="1"/>
      <c r="C105" s="2"/>
      <c r="D105" s="2"/>
      <c r="E105" s="2"/>
      <c r="F105" s="2"/>
    </row>
    <row r="106" spans="1:6" x14ac:dyDescent="0.25">
      <c r="A106" s="1"/>
      <c r="B106" s="1"/>
      <c r="C106" s="2"/>
      <c r="D106" s="2"/>
      <c r="E106" s="2"/>
      <c r="F106" s="2"/>
    </row>
    <row r="107" spans="1:6" x14ac:dyDescent="0.25">
      <c r="A107" s="1"/>
      <c r="B107" s="1"/>
      <c r="C107" s="2"/>
      <c r="D107" s="2"/>
      <c r="E107" s="2"/>
      <c r="F107" s="2"/>
    </row>
    <row r="108" spans="1:6" x14ac:dyDescent="0.25">
      <c r="A108" s="1"/>
      <c r="B108" s="1"/>
      <c r="C108" s="2"/>
      <c r="D108" s="2"/>
      <c r="E108" s="2"/>
      <c r="F108" s="2"/>
    </row>
    <row r="109" spans="1:6" x14ac:dyDescent="0.25">
      <c r="A109" s="1"/>
      <c r="B109" s="1"/>
      <c r="C109" s="2"/>
      <c r="D109" s="2"/>
      <c r="E109" s="2"/>
      <c r="F109" s="2"/>
    </row>
    <row r="110" spans="1:6" x14ac:dyDescent="0.25">
      <c r="A110" s="1"/>
      <c r="B110" s="1"/>
      <c r="C110" s="2"/>
      <c r="D110" s="2"/>
      <c r="E110" s="2"/>
      <c r="F110" s="2"/>
    </row>
    <row r="111" spans="1:6" x14ac:dyDescent="0.25">
      <c r="A111" s="1"/>
      <c r="B111" s="1"/>
      <c r="C111" s="2"/>
      <c r="D111" s="2"/>
      <c r="E111" s="2"/>
      <c r="F111" s="2"/>
    </row>
    <row r="112" spans="1:6" x14ac:dyDescent="0.25">
      <c r="A112" s="1"/>
      <c r="B112" s="1"/>
      <c r="C112" s="2"/>
      <c r="D112" s="2"/>
      <c r="E112" s="2"/>
      <c r="F112" s="2"/>
    </row>
    <row r="113" spans="1:6" x14ac:dyDescent="0.25">
      <c r="A113" s="1"/>
      <c r="B113" s="1"/>
      <c r="C113" s="2"/>
      <c r="D113" s="2"/>
      <c r="E113" s="2"/>
      <c r="F113" s="2"/>
    </row>
    <row r="114" spans="1:6" x14ac:dyDescent="0.25">
      <c r="A114" s="1"/>
      <c r="B114" s="1"/>
      <c r="C114" s="2"/>
      <c r="D114" s="2"/>
      <c r="E114" s="2"/>
      <c r="F114" s="2"/>
    </row>
    <row r="115" spans="1:6" x14ac:dyDescent="0.25">
      <c r="A115" s="1"/>
      <c r="B115" s="1"/>
      <c r="C115" s="2"/>
      <c r="D115" s="2"/>
      <c r="E115" s="2"/>
      <c r="F115" s="2"/>
    </row>
    <row r="116" spans="1:6" x14ac:dyDescent="0.25">
      <c r="A116" s="1"/>
      <c r="B116" s="1"/>
      <c r="C116" s="2"/>
      <c r="D116" s="2"/>
      <c r="E116" s="2"/>
      <c r="F116" s="2"/>
    </row>
    <row r="117" spans="1:6" x14ac:dyDescent="0.25">
      <c r="A117" s="1"/>
      <c r="B117" s="1"/>
      <c r="C117" s="2"/>
      <c r="D117" s="2"/>
      <c r="E117" s="2"/>
      <c r="F117" s="2"/>
    </row>
    <row r="118" spans="1:6" x14ac:dyDescent="0.25">
      <c r="A118" s="1"/>
      <c r="B118" s="1"/>
      <c r="C118" s="2"/>
      <c r="D118" s="2"/>
      <c r="E118" s="2"/>
      <c r="F118" s="2"/>
    </row>
    <row r="119" spans="1:6" x14ac:dyDescent="0.25">
      <c r="A119" s="1"/>
      <c r="B119" s="1"/>
      <c r="C119" s="2"/>
      <c r="D119" s="2"/>
      <c r="E119" s="2"/>
      <c r="F119" s="2"/>
    </row>
    <row r="120" spans="1:6" x14ac:dyDescent="0.25">
      <c r="A120" s="1"/>
      <c r="B120" s="1"/>
      <c r="C120" s="2"/>
      <c r="D120" s="2"/>
      <c r="E120" s="2"/>
      <c r="F120" s="2"/>
    </row>
    <row r="121" spans="1:6" x14ac:dyDescent="0.25">
      <c r="A121" s="1"/>
      <c r="B121" s="1"/>
      <c r="C121" s="2"/>
      <c r="D121" s="2"/>
      <c r="E121" s="2"/>
      <c r="F121" s="2"/>
    </row>
    <row r="122" spans="1:6" x14ac:dyDescent="0.25">
      <c r="A122" s="1"/>
      <c r="B122" s="1"/>
      <c r="C122" s="2"/>
      <c r="D122" s="2"/>
      <c r="E122" s="2"/>
      <c r="F122" s="2"/>
    </row>
    <row r="123" spans="1:6" x14ac:dyDescent="0.25">
      <c r="A123" s="1"/>
      <c r="B123" s="1"/>
      <c r="C123" s="2"/>
      <c r="D123" s="2"/>
      <c r="E123" s="2"/>
      <c r="F123" s="2"/>
    </row>
    <row r="124" spans="1:6" x14ac:dyDescent="0.25">
      <c r="A124" s="1"/>
      <c r="B124" s="1"/>
      <c r="C124" s="2"/>
      <c r="D124" s="2"/>
      <c r="E124" s="2"/>
      <c r="F124" s="2"/>
    </row>
    <row r="125" spans="1:6" x14ac:dyDescent="0.25">
      <c r="A125" s="1"/>
      <c r="B125" s="1"/>
      <c r="C125" s="2"/>
      <c r="D125" s="2"/>
      <c r="E125" s="2"/>
      <c r="F125" s="2"/>
    </row>
    <row r="126" spans="1:6" x14ac:dyDescent="0.25">
      <c r="A126" s="1"/>
      <c r="B126" s="1"/>
      <c r="C126" s="2"/>
      <c r="D126" s="2"/>
      <c r="E126" s="2"/>
      <c r="F126" s="2"/>
    </row>
    <row r="127" spans="1:6" x14ac:dyDescent="0.25">
      <c r="A127" s="1"/>
      <c r="B127" s="1"/>
      <c r="C127" s="2"/>
      <c r="D127" s="2"/>
      <c r="E127" s="2"/>
      <c r="F127" s="2"/>
    </row>
    <row r="128" spans="1:6" x14ac:dyDescent="0.25">
      <c r="A128" s="1"/>
      <c r="B128" s="1"/>
      <c r="C128" s="2"/>
      <c r="D128" s="2"/>
      <c r="E128" s="2"/>
      <c r="F128" s="2"/>
    </row>
    <row r="129" spans="1:6" x14ac:dyDescent="0.25">
      <c r="A129" s="1"/>
      <c r="B129" s="1"/>
      <c r="C129" s="2"/>
      <c r="D129" s="2"/>
      <c r="E129" s="2"/>
      <c r="F129" s="2"/>
    </row>
    <row r="130" spans="1:6" x14ac:dyDescent="0.25">
      <c r="A130" s="1"/>
      <c r="B130" s="1"/>
      <c r="C130" s="2"/>
      <c r="D130" s="2"/>
      <c r="E130" s="2"/>
      <c r="F130" s="2"/>
    </row>
    <row r="131" spans="1:6" x14ac:dyDescent="0.25">
      <c r="A131" s="1"/>
      <c r="B131" s="1"/>
      <c r="C131" s="2"/>
      <c r="D131" s="2"/>
      <c r="E131" s="2"/>
      <c r="F131" s="2"/>
    </row>
    <row r="132" spans="1:6" x14ac:dyDescent="0.25">
      <c r="A132" s="1"/>
      <c r="B132" s="1"/>
      <c r="C132" s="2"/>
      <c r="D132" s="2"/>
      <c r="E132" s="2"/>
      <c r="F132" s="2"/>
    </row>
    <row r="133" spans="1:6" x14ac:dyDescent="0.25">
      <c r="A133" s="1"/>
      <c r="B133" s="1"/>
      <c r="C133" s="2"/>
      <c r="D133" s="2"/>
      <c r="E133" s="2"/>
      <c r="F133" s="2"/>
    </row>
    <row r="134" spans="1:6" x14ac:dyDescent="0.25">
      <c r="A134" s="1"/>
      <c r="B134" s="1"/>
      <c r="C134" s="2"/>
      <c r="D134" s="2"/>
      <c r="E134" s="2"/>
      <c r="F134" s="2"/>
    </row>
    <row r="135" spans="1:6" x14ac:dyDescent="0.25">
      <c r="A135" s="1"/>
      <c r="B135" s="1"/>
      <c r="C135" s="2"/>
      <c r="D135" s="2"/>
      <c r="E135" s="2"/>
      <c r="F135" s="2"/>
    </row>
    <row r="136" spans="1:6" x14ac:dyDescent="0.25">
      <c r="A136" s="1"/>
      <c r="B136" s="1"/>
      <c r="C136" s="2"/>
      <c r="D136" s="2"/>
      <c r="E136" s="2"/>
      <c r="F136" s="2"/>
    </row>
    <row r="137" spans="1:6" x14ac:dyDescent="0.25">
      <c r="A137" s="1"/>
      <c r="B137" s="1"/>
      <c r="C137" s="2"/>
      <c r="D137" s="2"/>
      <c r="E137" s="2"/>
      <c r="F137" s="2"/>
    </row>
    <row r="138" spans="1:6" x14ac:dyDescent="0.25">
      <c r="A138" s="1"/>
      <c r="B138" s="1"/>
      <c r="C138" s="2"/>
      <c r="D138" s="2"/>
      <c r="E138" s="2"/>
      <c r="F138" s="2"/>
    </row>
    <row r="139" spans="1:6" x14ac:dyDescent="0.25">
      <c r="A139" s="1"/>
      <c r="B139" s="1"/>
      <c r="C139" s="2"/>
      <c r="D139" s="2"/>
      <c r="E139" s="2"/>
      <c r="F139" s="2"/>
    </row>
    <row r="140" spans="1:6" x14ac:dyDescent="0.25">
      <c r="A140" s="1"/>
      <c r="B140" s="1"/>
      <c r="C140" s="2"/>
      <c r="D140" s="2"/>
      <c r="E140" s="2"/>
      <c r="F140" s="2"/>
    </row>
    <row r="141" spans="1:6" x14ac:dyDescent="0.25">
      <c r="A141" s="1"/>
      <c r="B141" s="1"/>
      <c r="C141" s="2"/>
      <c r="D141" s="2"/>
      <c r="E141" s="2"/>
      <c r="F141" s="2"/>
    </row>
    <row r="142" spans="1:6" x14ac:dyDescent="0.25">
      <c r="A142" s="1"/>
      <c r="B142" s="1"/>
      <c r="C142" s="2"/>
      <c r="D142" s="2"/>
      <c r="E142" s="2"/>
      <c r="F142" s="2"/>
    </row>
    <row r="143" spans="1:6" x14ac:dyDescent="0.25">
      <c r="A143" s="1"/>
      <c r="B143" s="1"/>
      <c r="C143" s="2"/>
      <c r="D143" s="2"/>
      <c r="E143" s="2"/>
      <c r="F143" s="2"/>
    </row>
    <row r="144" spans="1:6" x14ac:dyDescent="0.25">
      <c r="A144" s="1"/>
      <c r="B144" s="1"/>
      <c r="C144" s="2"/>
      <c r="D144" s="2"/>
      <c r="E144" s="2"/>
      <c r="F144" s="2"/>
    </row>
    <row r="145" spans="1:6" x14ac:dyDescent="0.25">
      <c r="A145" s="1"/>
      <c r="B145" s="1"/>
      <c r="C145" s="2"/>
      <c r="D145" s="2"/>
      <c r="E145" s="2"/>
      <c r="F145" s="2"/>
    </row>
    <row r="146" spans="1:6" x14ac:dyDescent="0.25">
      <c r="A146" s="1"/>
      <c r="B146" s="1"/>
      <c r="C146" s="2"/>
      <c r="D146" s="2"/>
      <c r="E146" s="2"/>
      <c r="F146" s="2"/>
    </row>
    <row r="147" spans="1:6" x14ac:dyDescent="0.25">
      <c r="A147" s="1"/>
      <c r="B147" s="1"/>
      <c r="C147" s="2"/>
      <c r="D147" s="2"/>
      <c r="E147" s="2"/>
      <c r="F147" s="2"/>
    </row>
    <row r="148" spans="1:6" x14ac:dyDescent="0.25">
      <c r="A148" s="1"/>
      <c r="B148" s="1"/>
      <c r="C148" s="2"/>
      <c r="D148" s="2"/>
      <c r="E148" s="2"/>
      <c r="F148" s="2"/>
    </row>
    <row r="149" spans="1:6" x14ac:dyDescent="0.25">
      <c r="A149" s="1"/>
      <c r="B149" s="1"/>
      <c r="C149" s="2"/>
      <c r="D149" s="2"/>
      <c r="E149" s="2"/>
      <c r="F149" s="2"/>
    </row>
    <row r="150" spans="1:6" x14ac:dyDescent="0.25">
      <c r="A150" s="1"/>
      <c r="B150" s="1"/>
      <c r="C150" s="2"/>
      <c r="D150" s="2"/>
      <c r="E150" s="2"/>
      <c r="F150" s="2"/>
    </row>
    <row r="151" spans="1:6" x14ac:dyDescent="0.25">
      <c r="A151" s="1"/>
      <c r="B151" s="1"/>
      <c r="C151" s="2"/>
      <c r="D151" s="2"/>
      <c r="E151" s="2"/>
      <c r="F151" s="2"/>
    </row>
    <row r="152" spans="1:6" x14ac:dyDescent="0.25">
      <c r="A152" s="1"/>
      <c r="B152" s="1"/>
      <c r="C152" s="2"/>
      <c r="D152" s="2"/>
      <c r="E152" s="2"/>
      <c r="F152" s="2"/>
    </row>
    <row r="153" spans="1:6" x14ac:dyDescent="0.25">
      <c r="A153" s="1"/>
      <c r="B153" s="1"/>
      <c r="C153" s="2"/>
      <c r="D153" s="2"/>
      <c r="E153" s="2"/>
      <c r="F153" s="2"/>
    </row>
    <row r="154" spans="1:6" x14ac:dyDescent="0.25">
      <c r="A154" s="1"/>
      <c r="B154" s="1"/>
      <c r="C154" s="2"/>
      <c r="D154" s="2"/>
      <c r="E154" s="2"/>
      <c r="F154" s="2"/>
    </row>
    <row r="155" spans="1:6" x14ac:dyDescent="0.25">
      <c r="A155" s="1"/>
      <c r="B155" s="1"/>
      <c r="C155" s="2"/>
      <c r="D155" s="2"/>
      <c r="E155" s="2"/>
      <c r="F155" s="2"/>
    </row>
    <row r="156" spans="1:6" x14ac:dyDescent="0.25">
      <c r="A156" s="1"/>
      <c r="B156" s="1"/>
      <c r="C156" s="2"/>
      <c r="D156" s="2"/>
      <c r="E156" s="2"/>
      <c r="F156" s="2"/>
    </row>
    <row r="157" spans="1:6" x14ac:dyDescent="0.25">
      <c r="A157" s="1"/>
      <c r="B157" s="1"/>
      <c r="C157" s="2"/>
      <c r="D157" s="2"/>
      <c r="E157" s="2"/>
      <c r="F157" s="2"/>
    </row>
    <row r="158" spans="1:6" x14ac:dyDescent="0.25">
      <c r="A158" s="1"/>
      <c r="B158" s="1"/>
      <c r="C158" s="2"/>
      <c r="D158" s="2"/>
      <c r="E158" s="2"/>
      <c r="F158" s="2"/>
    </row>
    <row r="159" spans="1:6" x14ac:dyDescent="0.25">
      <c r="A159" s="1"/>
      <c r="B159" s="1"/>
      <c r="C159" s="2"/>
      <c r="D159" s="2"/>
      <c r="E159" s="2"/>
      <c r="F159" s="2"/>
    </row>
    <row r="160" spans="1:6" x14ac:dyDescent="0.25">
      <c r="A160" s="1"/>
      <c r="B160" s="1"/>
      <c r="C160" s="2"/>
      <c r="D160" s="2"/>
      <c r="E160" s="2"/>
      <c r="F160" s="2"/>
    </row>
    <row r="161" spans="1:6" x14ac:dyDescent="0.25">
      <c r="A161" s="1"/>
      <c r="B161" s="1"/>
      <c r="C161" s="2"/>
      <c r="D161" s="2"/>
      <c r="E161" s="2"/>
      <c r="F161" s="2"/>
    </row>
    <row r="162" spans="1:6" x14ac:dyDescent="0.25">
      <c r="A162" s="1"/>
      <c r="B162" s="1"/>
      <c r="C162" s="2"/>
      <c r="D162" s="2"/>
      <c r="E162" s="2"/>
      <c r="F162" s="2"/>
    </row>
    <row r="163" spans="1:6" x14ac:dyDescent="0.25">
      <c r="A163" s="1"/>
      <c r="B163" s="1"/>
      <c r="C163" s="2"/>
      <c r="D163" s="2"/>
      <c r="E163" s="2"/>
      <c r="F163" s="2"/>
    </row>
    <row r="164" spans="1:6" x14ac:dyDescent="0.25">
      <c r="A164" s="1"/>
      <c r="B164" s="1"/>
      <c r="C164" s="2"/>
      <c r="D164" s="2"/>
      <c r="E164" s="2"/>
      <c r="F164" s="2"/>
    </row>
    <row r="165" spans="1:6" x14ac:dyDescent="0.25">
      <c r="A165" s="1"/>
      <c r="B165" s="1"/>
      <c r="C165" s="2"/>
      <c r="D165" s="2"/>
      <c r="E165" s="2"/>
      <c r="F165" s="2"/>
    </row>
    <row r="166" spans="1:6" x14ac:dyDescent="0.25">
      <c r="A166" s="1"/>
      <c r="B166" s="1"/>
      <c r="C166" s="2"/>
      <c r="D166" s="2"/>
      <c r="E166" s="2"/>
      <c r="F166" s="2"/>
    </row>
    <row r="167" spans="1:6" x14ac:dyDescent="0.25">
      <c r="A167" s="1"/>
      <c r="B167" s="1"/>
      <c r="C167" s="2"/>
      <c r="D167" s="2"/>
      <c r="E167" s="2"/>
      <c r="F167" s="2"/>
    </row>
    <row r="168" spans="1:6" x14ac:dyDescent="0.25">
      <c r="A168" s="1"/>
      <c r="B168" s="1"/>
      <c r="C168" s="2"/>
      <c r="D168" s="2"/>
      <c r="E168" s="2"/>
      <c r="F168" s="2"/>
    </row>
  </sheetData>
  <sortState xmlns:xlrd2="http://schemas.microsoft.com/office/spreadsheetml/2017/richdata2" ref="A2:E168">
    <sortCondition ref="B1"/>
  </sortState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E04F-A897-4504-9280-20F9EA564675}">
  <sheetPr codeName="Sheet5"/>
  <dimension ref="A1"/>
  <sheetViews>
    <sheetView tabSelected="1" workbookViewId="0">
      <selection activeCell="K29" sqref="K29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t_8">
                <anchor moveWithCells="1" sizeWithCells="1">
                  <from>
                    <xdr:col>6</xdr:col>
                    <xdr:colOff>175260</xdr:colOff>
                    <xdr:row>25</xdr:row>
                    <xdr:rowOff>91440</xdr:rowOff>
                  </from>
                  <to>
                    <xdr:col>7</xdr:col>
                    <xdr:colOff>365760</xdr:colOff>
                    <xdr:row>27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fit_9">
                <anchor moveWithCells="1" sizeWithCells="1">
                  <from>
                    <xdr:col>21</xdr:col>
                    <xdr:colOff>121920</xdr:colOff>
                    <xdr:row>11</xdr:row>
                    <xdr:rowOff>114300</xdr:rowOff>
                  </from>
                  <to>
                    <xdr:col>22</xdr:col>
                    <xdr:colOff>320040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fit_12">
                <anchor moveWithCells="1" sizeWithCells="1">
                  <from>
                    <xdr:col>21</xdr:col>
                    <xdr:colOff>182880</xdr:colOff>
                    <xdr:row>25</xdr:row>
                    <xdr:rowOff>106680</xdr:rowOff>
                  </from>
                  <to>
                    <xdr:col>22</xdr:col>
                    <xdr:colOff>381000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fit_7">
                <anchor moveWithCells="1" sizeWithCells="1">
                  <from>
                    <xdr:col>6</xdr:col>
                    <xdr:colOff>304800</xdr:colOff>
                    <xdr:row>11</xdr:row>
                    <xdr:rowOff>53340</xdr:rowOff>
                  </from>
                  <to>
                    <xdr:col>7</xdr:col>
                    <xdr:colOff>502920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7</vt:lpstr>
      <vt:lpstr>8</vt:lpstr>
      <vt:lpstr>9</vt:lpstr>
      <vt:lpstr>12</vt:lpstr>
      <vt:lpstr>graph_summary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 Hanyuan</dc:creator>
  <cp:lastModifiedBy>Hu Hanyuan</cp:lastModifiedBy>
  <dcterms:created xsi:type="dcterms:W3CDTF">2020-06-28T02:08:27Z</dcterms:created>
  <dcterms:modified xsi:type="dcterms:W3CDTF">2020-06-28T07:33:50Z</dcterms:modified>
</cp:coreProperties>
</file>